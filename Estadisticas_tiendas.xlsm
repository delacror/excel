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35" windowWidth="20640" windowHeight="11715"/>
  </bookViews>
  <sheets>
    <sheet name="Hoja1" sheetId="1" r:id="rId1"/>
    <sheet name="Hoja2" sheetId="2" r:id="rId2"/>
    <sheet name="Hoja3" sheetId="3" r:id="rId3"/>
  </sheets>
  <functionGroups/>
  <calcPr calcId="124519"/>
</workbook>
</file>

<file path=xl/calcChain.xml><?xml version="1.0" encoding="utf-8"?>
<calcChain xmlns="http://schemas.openxmlformats.org/spreadsheetml/2006/main">
  <c r="J39" i="1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9"/>
  <c r="J10"/>
  <c r="J8"/>
  <c r="J4"/>
  <c r="J5"/>
  <c r="J6"/>
  <c r="J7"/>
  <c r="Y35" i="2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I40" i="1" l="1"/>
  <c r="G40"/>
  <c r="E40"/>
  <c r="C40"/>
  <c r="J40" l="1"/>
</calcChain>
</file>

<file path=xl/sharedStrings.xml><?xml version="1.0" encoding="utf-8"?>
<sst xmlns="http://schemas.openxmlformats.org/spreadsheetml/2006/main" count="105" uniqueCount="62">
  <si>
    <t>ABRIL</t>
  </si>
  <si>
    <t>MAYO</t>
  </si>
  <si>
    <t>JUNIO</t>
  </si>
  <si>
    <t>Lun</t>
  </si>
  <si>
    <t>Mar</t>
  </si>
  <si>
    <t>Mie</t>
  </si>
  <si>
    <t>Jue</t>
  </si>
  <si>
    <t>Vie</t>
  </si>
  <si>
    <t>Dom</t>
  </si>
  <si>
    <t>Sab</t>
  </si>
  <si>
    <t>SOLES</t>
  </si>
  <si>
    <t>TOT</t>
  </si>
  <si>
    <t>PARES</t>
  </si>
  <si>
    <t>2017</t>
  </si>
  <si>
    <t>FECHA</t>
  </si>
  <si>
    <t>CHOSICA</t>
  </si>
  <si>
    <t>AGUAS VERDES</t>
  </si>
  <si>
    <t>CHINCHA</t>
  </si>
  <si>
    <t>AREQUIPA</t>
  </si>
  <si>
    <t>SURCO</t>
  </si>
  <si>
    <t>TRUJILLO</t>
  </si>
  <si>
    <t>CHICLAYO</t>
  </si>
  <si>
    <t>CERES</t>
  </si>
  <si>
    <t>SJL</t>
  </si>
  <si>
    <t>CANTO GRANDE</t>
  </si>
  <si>
    <t>TOTAL</t>
  </si>
  <si>
    <t>PUCALLPA</t>
  </si>
  <si>
    <t>07</t>
  </si>
  <si>
    <t>01-07-2017</t>
  </si>
  <si>
    <t>02-07-2017</t>
  </si>
  <si>
    <t>03-07-2017</t>
  </si>
  <si>
    <t>04-07-2017</t>
  </si>
  <si>
    <t>05-07-2017</t>
  </si>
  <si>
    <t>06-07-2017</t>
  </si>
  <si>
    <t>07-07-2017</t>
  </si>
  <si>
    <t>08-07-2017</t>
  </si>
  <si>
    <t>09-07-2017</t>
  </si>
  <si>
    <t>10-07-2017</t>
  </si>
  <si>
    <t>11-07-2017</t>
  </si>
  <si>
    <t>12-07-2017</t>
  </si>
  <si>
    <t>13-07-2017</t>
  </si>
  <si>
    <t>14-07-2017</t>
  </si>
  <si>
    <t>15-07-2017</t>
  </si>
  <si>
    <t>16-07-2017</t>
  </si>
  <si>
    <t>17-07-2017</t>
  </si>
  <si>
    <t>18-07-2017</t>
  </si>
  <si>
    <t>19-07-2017</t>
  </si>
  <si>
    <t>20-07-2017</t>
  </si>
  <si>
    <t>21-07-2017</t>
  </si>
  <si>
    <t>22-07-2017</t>
  </si>
  <si>
    <t>23-07-2017</t>
  </si>
  <si>
    <t>24-07-2017</t>
  </si>
  <si>
    <t>25-07-2017</t>
  </si>
  <si>
    <t>26-07-2017</t>
  </si>
  <si>
    <t>27-07-2017</t>
  </si>
  <si>
    <t>28-07-2017</t>
  </si>
  <si>
    <t>29-07-2017</t>
  </si>
  <si>
    <t>30-07-2017</t>
  </si>
  <si>
    <t>31-07-2017</t>
  </si>
  <si>
    <t>Desde: 01/04/2017 a 31/07/2017</t>
  </si>
  <si>
    <t>JULIO</t>
  </si>
  <si>
    <t xml:space="preserve">TD030 T_CHOSICA      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</si>
</sst>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b/>
      <sz val="7"/>
      <color indexed="18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7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Fill="1" applyBorder="1"/>
    <xf numFmtId="1" fontId="1" fillId="0" borderId="1" xfId="0" applyNumberFormat="1" applyFont="1" applyFill="1" applyBorder="1"/>
    <xf numFmtId="0" fontId="1" fillId="0" borderId="1" xfId="0" applyFont="1" applyFill="1" applyBorder="1" applyAlignment="1">
      <alignment horizontal="centerContinuous"/>
    </xf>
    <xf numFmtId="49" fontId="3" fillId="0" borderId="1" xfId="0" applyNumberFormat="1" applyFont="1" applyFill="1" applyBorder="1"/>
    <xf numFmtId="49" fontId="4" fillId="0" borderId="1" xfId="0" applyNumberFormat="1" applyFont="1" applyFill="1" applyBorder="1"/>
    <xf numFmtId="0" fontId="5" fillId="0" borderId="1" xfId="0" applyFont="1" applyFill="1" applyBorder="1"/>
    <xf numFmtId="3" fontId="2" fillId="0" borderId="1" xfId="0" applyNumberFormat="1" applyFont="1" applyFill="1" applyBorder="1"/>
    <xf numFmtId="3" fontId="6" fillId="0" borderId="1" xfId="0" applyNumberFormat="1" applyFont="1" applyBorder="1"/>
    <xf numFmtId="3" fontId="7" fillId="0" borderId="1" xfId="0" applyNumberFormat="1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17" fontId="8" fillId="0" borderId="0" xfId="0" quotePrefix="1" applyNumberFormat="1" applyFont="1"/>
    <xf numFmtId="0" fontId="8" fillId="0" borderId="0" xfId="0" quotePrefix="1" applyFont="1"/>
    <xf numFmtId="0" fontId="0" fillId="0" borderId="0" xfId="0" quotePrefix="1"/>
    <xf numFmtId="3" fontId="0" fillId="0" borderId="0" xfId="0" applyNumberFormat="1"/>
    <xf numFmtId="0" fontId="8" fillId="0" borderId="1" xfId="0" applyFont="1" applyBorder="1" applyAlignment="1">
      <alignment horizontal="justify" vertical="justify"/>
    </xf>
    <xf numFmtId="0" fontId="0" fillId="0" borderId="0" xfId="0" applyAlignment="1">
      <alignment horizontal="justify" vertical="justify"/>
    </xf>
    <xf numFmtId="0" fontId="13" fillId="2" borderId="1" xfId="0" applyFont="1" applyFill="1" applyBorder="1" applyAlignment="1">
      <alignment horizontal="center" vertical="justify"/>
    </xf>
    <xf numFmtId="3" fontId="11" fillId="3" borderId="1" xfId="0" applyNumberFormat="1" applyFont="1" applyFill="1" applyBorder="1" applyAlignment="1">
      <alignment horizontal="center" vertical="justify"/>
    </xf>
    <xf numFmtId="3" fontId="10" fillId="0" borderId="1" xfId="0" applyNumberFormat="1" applyFont="1" applyBorder="1"/>
    <xf numFmtId="3" fontId="0" fillId="0" borderId="0" xfId="0" quotePrefix="1" applyNumberFormat="1" applyAlignment="1">
      <alignment horizontal="center"/>
    </xf>
    <xf numFmtId="3" fontId="14" fillId="0" borderId="0" xfId="0" applyNumberFormat="1" applyFont="1"/>
    <xf numFmtId="3" fontId="15" fillId="0" borderId="1" xfId="0" applyNumberFormat="1" applyFont="1" applyBorder="1"/>
    <xf numFmtId="3" fontId="9" fillId="2" borderId="0" xfId="0" applyNumberFormat="1" applyFont="1" applyFill="1"/>
    <xf numFmtId="3" fontId="9" fillId="2" borderId="1" xfId="0" applyNumberFormat="1" applyFont="1" applyFill="1" applyBorder="1"/>
    <xf numFmtId="3" fontId="0" fillId="3" borderId="0" xfId="0" applyNumberFormat="1" applyFill="1"/>
    <xf numFmtId="3" fontId="10" fillId="3" borderId="1" xfId="0" applyNumberFormat="1" applyFont="1" applyFill="1" applyBorder="1"/>
    <xf numFmtId="0" fontId="10" fillId="0" borderId="1" xfId="0" applyFont="1" applyBorder="1" applyAlignment="1">
      <alignment horizontal="center"/>
    </xf>
    <xf numFmtId="3" fontId="0" fillId="0" borderId="1" xfId="0" applyNumberFormat="1" applyBorder="1"/>
    <xf numFmtId="0" fontId="12" fillId="2" borderId="1" xfId="0" applyFont="1" applyFill="1" applyBorder="1" applyAlignment="1">
      <alignment horizontal="center"/>
    </xf>
    <xf numFmtId="3" fontId="8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leccionar Datos"/>
  <ax:ocxPr ax:name="Size" ax:value="3519;1058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leccionar Datos"/>
  <ax:ocxPr ax:name="Size" ax:value="3625;87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style val="18"/>
  <c:chart>
    <c:plotArea>
      <c:layout>
        <c:manualLayout>
          <c:layoutTarget val="inner"/>
          <c:xMode val="edge"/>
          <c:yMode val="edge"/>
          <c:x val="5.8043556866609274E-2"/>
          <c:y val="1.6811348994598817E-2"/>
          <c:w val="0.89178650697532502"/>
          <c:h val="0.75591045883662444"/>
        </c:manualLayout>
      </c:layout>
      <c:barChart>
        <c:barDir val="col"/>
        <c:grouping val="clustered"/>
        <c:ser>
          <c:idx val="0"/>
          <c:order val="0"/>
          <c:tx>
            <c:strRef>
              <c:f>Hoja1!$C$3</c:f>
              <c:strCache>
                <c:ptCount val="1"/>
                <c:pt idx="0">
                  <c:v>ABRIL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Hoja1!$C$4:$C$39</c:f>
              <c:numCache>
                <c:formatCode>#,##0</c:formatCode>
                <c:ptCount val="36"/>
                <c:pt idx="5">
                  <c:v>28</c:v>
                </c:pt>
                <c:pt idx="7">
                  <c:v>28</c:v>
                </c:pt>
                <c:pt idx="8">
                  <c:v>18</c:v>
                </c:pt>
                <c:pt idx="9">
                  <c:v>16</c:v>
                </c:pt>
                <c:pt idx="10">
                  <c:v>22</c:v>
                </c:pt>
                <c:pt idx="11">
                  <c:v>9</c:v>
                </c:pt>
                <c:pt idx="12">
                  <c:v>9</c:v>
                </c:pt>
                <c:pt idx="14">
                  <c:v>18</c:v>
                </c:pt>
                <c:pt idx="15">
                  <c:v>13</c:v>
                </c:pt>
                <c:pt idx="16">
                  <c:v>8</c:v>
                </c:pt>
                <c:pt idx="17">
                  <c:v>8</c:v>
                </c:pt>
                <c:pt idx="18">
                  <c:v>6</c:v>
                </c:pt>
                <c:pt idx="19">
                  <c:v>24</c:v>
                </c:pt>
                <c:pt idx="21">
                  <c:v>6</c:v>
                </c:pt>
                <c:pt idx="22">
                  <c:v>16</c:v>
                </c:pt>
                <c:pt idx="23">
                  <c:v>15</c:v>
                </c:pt>
                <c:pt idx="24">
                  <c:v>12</c:v>
                </c:pt>
                <c:pt idx="25">
                  <c:v>16</c:v>
                </c:pt>
                <c:pt idx="26">
                  <c:v>26</c:v>
                </c:pt>
                <c:pt idx="28">
                  <c:v>12</c:v>
                </c:pt>
                <c:pt idx="29">
                  <c:v>16</c:v>
                </c:pt>
                <c:pt idx="30">
                  <c:v>15</c:v>
                </c:pt>
                <c:pt idx="31">
                  <c:v>7</c:v>
                </c:pt>
                <c:pt idx="32">
                  <c:v>2</c:v>
                </c:pt>
              </c:numCache>
            </c:numRef>
          </c:val>
        </c:ser>
        <c:ser>
          <c:idx val="1"/>
          <c:order val="1"/>
          <c:tx>
            <c:strRef>
              <c:f>Hoja1!$E$3</c:f>
              <c:strCache>
                <c:ptCount val="1"/>
                <c:pt idx="0">
                  <c:v>MAYO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Hoja1!$E$4:$E$39</c:f>
              <c:numCache>
                <c:formatCode>#,##0</c:formatCode>
                <c:ptCount val="36"/>
                <c:pt idx="3">
                  <c:v>12</c:v>
                </c:pt>
                <c:pt idx="4">
                  <c:v>2</c:v>
                </c:pt>
                <c:pt idx="5">
                  <c:v>16</c:v>
                </c:pt>
                <c:pt idx="7">
                  <c:v>21</c:v>
                </c:pt>
                <c:pt idx="8">
                  <c:v>19</c:v>
                </c:pt>
                <c:pt idx="9">
                  <c:v>28</c:v>
                </c:pt>
                <c:pt idx="10">
                  <c:v>15</c:v>
                </c:pt>
                <c:pt idx="11">
                  <c:v>48</c:v>
                </c:pt>
                <c:pt idx="12">
                  <c:v>30</c:v>
                </c:pt>
                <c:pt idx="14">
                  <c:v>26</c:v>
                </c:pt>
                <c:pt idx="15">
                  <c:v>3</c:v>
                </c:pt>
                <c:pt idx="16">
                  <c:v>28</c:v>
                </c:pt>
                <c:pt idx="17">
                  <c:v>3</c:v>
                </c:pt>
                <c:pt idx="18">
                  <c:v>1</c:v>
                </c:pt>
                <c:pt idx="19">
                  <c:v>8</c:v>
                </c:pt>
                <c:pt idx="21">
                  <c:v>4</c:v>
                </c:pt>
                <c:pt idx="22">
                  <c:v>4</c:v>
                </c:pt>
                <c:pt idx="23">
                  <c:v>7</c:v>
                </c:pt>
                <c:pt idx="24">
                  <c:v>71</c:v>
                </c:pt>
                <c:pt idx="25">
                  <c:v>18</c:v>
                </c:pt>
                <c:pt idx="26">
                  <c:v>28</c:v>
                </c:pt>
                <c:pt idx="28">
                  <c:v>15</c:v>
                </c:pt>
                <c:pt idx="29">
                  <c:v>15</c:v>
                </c:pt>
                <c:pt idx="30">
                  <c:v>12</c:v>
                </c:pt>
              </c:numCache>
            </c:numRef>
          </c:val>
        </c:ser>
        <c:ser>
          <c:idx val="2"/>
          <c:order val="2"/>
          <c:tx>
            <c:strRef>
              <c:f>Hoja1!$G$3</c:f>
              <c:strCache>
                <c:ptCount val="1"/>
                <c:pt idx="0">
                  <c:v>JUNIO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Hoja1!$G$4:$G$39</c:f>
              <c:numCache>
                <c:formatCode>#,##0</c:formatCode>
                <c:ptCount val="36"/>
                <c:pt idx="3">
                  <c:v>8</c:v>
                </c:pt>
                <c:pt idx="4">
                  <c:v>31</c:v>
                </c:pt>
                <c:pt idx="5">
                  <c:v>12</c:v>
                </c:pt>
                <c:pt idx="7">
                  <c:v>17</c:v>
                </c:pt>
                <c:pt idx="8">
                  <c:v>11</c:v>
                </c:pt>
                <c:pt idx="9">
                  <c:v>14</c:v>
                </c:pt>
                <c:pt idx="10">
                  <c:v>9</c:v>
                </c:pt>
                <c:pt idx="11">
                  <c:v>16</c:v>
                </c:pt>
                <c:pt idx="12">
                  <c:v>21</c:v>
                </c:pt>
                <c:pt idx="14">
                  <c:v>19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29</c:v>
                </c:pt>
                <c:pt idx="19">
                  <c:v>24</c:v>
                </c:pt>
                <c:pt idx="21">
                  <c:v>16</c:v>
                </c:pt>
                <c:pt idx="22">
                  <c:v>5</c:v>
                </c:pt>
                <c:pt idx="23">
                  <c:v>14</c:v>
                </c:pt>
                <c:pt idx="24">
                  <c:v>4</c:v>
                </c:pt>
                <c:pt idx="25">
                  <c:v>8</c:v>
                </c:pt>
                <c:pt idx="26">
                  <c:v>16</c:v>
                </c:pt>
                <c:pt idx="28">
                  <c:v>18</c:v>
                </c:pt>
                <c:pt idx="29">
                  <c:v>14</c:v>
                </c:pt>
                <c:pt idx="30">
                  <c:v>8</c:v>
                </c:pt>
              </c:numCache>
            </c:numRef>
          </c:val>
        </c:ser>
        <c:ser>
          <c:idx val="3"/>
          <c:order val="3"/>
          <c:tx>
            <c:strRef>
              <c:f>Hoja1!$I$3</c:f>
              <c:strCache>
                <c:ptCount val="1"/>
                <c:pt idx="0">
                  <c:v>JULIO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Hoja1!$I$4:$I$39</c:f>
              <c:numCache>
                <c:formatCode>#,##0</c:formatCode>
                <c:ptCount val="36"/>
                <c:pt idx="7">
                  <c:v>9</c:v>
                </c:pt>
                <c:pt idx="8">
                  <c:v>16</c:v>
                </c:pt>
                <c:pt idx="9">
                  <c:v>5</c:v>
                </c:pt>
                <c:pt idx="10">
                  <c:v>14</c:v>
                </c:pt>
                <c:pt idx="11">
                  <c:v>21</c:v>
                </c:pt>
                <c:pt idx="12">
                  <c:v>21</c:v>
                </c:pt>
                <c:pt idx="14">
                  <c:v>10</c:v>
                </c:pt>
                <c:pt idx="15">
                  <c:v>21</c:v>
                </c:pt>
                <c:pt idx="16">
                  <c:v>4</c:v>
                </c:pt>
                <c:pt idx="17">
                  <c:v>5</c:v>
                </c:pt>
                <c:pt idx="18">
                  <c:v>11</c:v>
                </c:pt>
                <c:pt idx="19">
                  <c:v>16</c:v>
                </c:pt>
                <c:pt idx="21">
                  <c:v>21</c:v>
                </c:pt>
                <c:pt idx="22">
                  <c:v>11</c:v>
                </c:pt>
                <c:pt idx="23">
                  <c:v>16</c:v>
                </c:pt>
                <c:pt idx="24">
                  <c:v>12</c:v>
                </c:pt>
                <c:pt idx="25">
                  <c:v>13</c:v>
                </c:pt>
                <c:pt idx="26">
                  <c:v>27</c:v>
                </c:pt>
                <c:pt idx="28">
                  <c:v>9</c:v>
                </c:pt>
                <c:pt idx="29">
                  <c:v>11</c:v>
                </c:pt>
                <c:pt idx="30">
                  <c:v>15</c:v>
                </c:pt>
                <c:pt idx="31">
                  <c:v>29</c:v>
                </c:pt>
                <c:pt idx="32">
                  <c:v>3</c:v>
                </c:pt>
              </c:numCache>
            </c:numRef>
          </c:val>
        </c:ser>
        <c:ser>
          <c:idx val="4"/>
          <c:order val="4"/>
          <c:tx>
            <c:strRef>
              <c:f>Hoja1!$J$3</c:f>
              <c:strCache>
                <c:ptCount val="1"/>
                <c:pt idx="0">
                  <c:v>TOTAL</c:v>
                </c:pt>
              </c:strCache>
            </c:strRef>
          </c:tx>
          <c:val>
            <c:numRef>
              <c:f>Hoja1!$J$4:$J$39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33</c:v>
                </c:pt>
                <c:pt idx="5">
                  <c:v>56</c:v>
                </c:pt>
                <c:pt idx="6">
                  <c:v>0</c:v>
                </c:pt>
                <c:pt idx="7">
                  <c:v>75</c:v>
                </c:pt>
                <c:pt idx="8">
                  <c:v>64</c:v>
                </c:pt>
                <c:pt idx="9">
                  <c:v>63</c:v>
                </c:pt>
                <c:pt idx="10">
                  <c:v>60</c:v>
                </c:pt>
                <c:pt idx="11">
                  <c:v>94</c:v>
                </c:pt>
                <c:pt idx="12">
                  <c:v>81</c:v>
                </c:pt>
                <c:pt idx="13">
                  <c:v>0</c:v>
                </c:pt>
                <c:pt idx="14">
                  <c:v>73</c:v>
                </c:pt>
                <c:pt idx="15">
                  <c:v>43</c:v>
                </c:pt>
                <c:pt idx="16">
                  <c:v>45</c:v>
                </c:pt>
                <c:pt idx="17">
                  <c:v>22</c:v>
                </c:pt>
                <c:pt idx="18">
                  <c:v>47</c:v>
                </c:pt>
                <c:pt idx="19">
                  <c:v>72</c:v>
                </c:pt>
                <c:pt idx="20">
                  <c:v>0</c:v>
                </c:pt>
                <c:pt idx="21">
                  <c:v>47</c:v>
                </c:pt>
                <c:pt idx="22">
                  <c:v>36</c:v>
                </c:pt>
                <c:pt idx="23">
                  <c:v>52</c:v>
                </c:pt>
                <c:pt idx="24">
                  <c:v>99</c:v>
                </c:pt>
                <c:pt idx="25">
                  <c:v>55</c:v>
                </c:pt>
                <c:pt idx="26">
                  <c:v>97</c:v>
                </c:pt>
                <c:pt idx="27">
                  <c:v>0</c:v>
                </c:pt>
                <c:pt idx="28">
                  <c:v>54</c:v>
                </c:pt>
                <c:pt idx="29">
                  <c:v>56</c:v>
                </c:pt>
                <c:pt idx="30">
                  <c:v>50</c:v>
                </c:pt>
                <c:pt idx="31">
                  <c:v>36</c:v>
                </c:pt>
                <c:pt idx="32">
                  <c:v>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</c:ser>
        <c:axId val="47351296"/>
        <c:axId val="88432640"/>
      </c:barChart>
      <c:catAx>
        <c:axId val="47351296"/>
        <c:scaling>
          <c:orientation val="minMax"/>
        </c:scaling>
        <c:axPos val="b"/>
        <c:numFmt formatCode="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88432640"/>
        <c:crosses val="autoZero"/>
        <c:auto val="1"/>
        <c:lblAlgn val="ctr"/>
        <c:lblOffset val="100"/>
      </c:catAx>
      <c:valAx>
        <c:axId val="88432640"/>
        <c:scaling>
          <c:orientation val="minMax"/>
        </c:scaling>
        <c:axPos val="l"/>
        <c:majorGridlines/>
        <c:numFmt formatCode="#,##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4735129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</c:dTable>
    </c:plotArea>
    <c:legend>
      <c:legendPos val="r"/>
      <c:layout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PE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47623</xdr:colOff>
      <xdr:row>2</xdr:row>
      <xdr:rowOff>47623</xdr:rowOff>
    </xdr:from>
    <xdr:to>
      <xdr:col>26</xdr:col>
      <xdr:colOff>552450</xdr:colOff>
      <xdr:row>38</xdr:row>
      <xdr:rowOff>9525</xdr:rowOff>
    </xdr:to>
    <xdr:graphicFrame macro="">
      <xdr:nvGraphicFramePr>
        <xdr:cNvPr id="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J40"/>
  <sheetViews>
    <sheetView tabSelected="1" workbookViewId="0">
      <selection activeCell="M2" sqref="M2"/>
    </sheetView>
  </sheetViews>
  <sheetFormatPr baseColWidth="10" defaultRowHeight="15"/>
  <cols>
    <col min="1" max="1" width="5.42578125" customWidth="1"/>
    <col min="2" max="2" width="5.7109375" customWidth="1"/>
    <col min="3" max="3" width="9.7109375" customWidth="1"/>
    <col min="4" max="4" width="5.7109375" customWidth="1"/>
    <col min="5" max="5" width="9.7109375" customWidth="1"/>
    <col min="6" max="6" width="5.7109375" customWidth="1"/>
    <col min="7" max="7" width="9.7109375" customWidth="1"/>
    <col min="8" max="8" width="5.7109375" customWidth="1"/>
    <col min="9" max="9" width="9.7109375" customWidth="1"/>
    <col min="10" max="10" width="9.28515625" customWidth="1"/>
  </cols>
  <sheetData>
    <row r="1" spans="1:10" ht="21" customHeight="1">
      <c r="A1" s="10" t="s">
        <v>61</v>
      </c>
      <c r="B1" s="10"/>
      <c r="C1" s="10"/>
      <c r="D1" s="10"/>
      <c r="E1" s="10"/>
      <c r="F1" s="10"/>
      <c r="G1" s="10"/>
      <c r="H1" s="10"/>
      <c r="I1" s="10"/>
    </row>
    <row r="2" spans="1:10" ht="21" customHeight="1">
      <c r="A2" s="10" t="s">
        <v>59</v>
      </c>
      <c r="B2" s="10"/>
      <c r="C2" s="10"/>
      <c r="D2" s="10"/>
      <c r="E2" s="10"/>
      <c r="F2" s="10"/>
      <c r="G2" s="10"/>
      <c r="H2" s="10"/>
      <c r="I2" s="11" t="s">
        <v>12</v>
      </c>
    </row>
    <row r="3" spans="1:10">
      <c r="A3" s="6"/>
      <c r="B3" s="2"/>
      <c r="C3" s="3" t="s">
        <v>0</v>
      </c>
      <c r="D3" s="1"/>
      <c r="E3" s="3" t="s">
        <v>1</v>
      </c>
      <c r="F3" s="1"/>
      <c r="G3" s="3" t="s">
        <v>2</v>
      </c>
      <c r="H3" s="1"/>
      <c r="I3" s="3" t="s">
        <v>60</v>
      </c>
      <c r="J3" s="3" t="s">
        <v>25</v>
      </c>
    </row>
    <row r="4" spans="1:10">
      <c r="A4" s="4" t="s">
        <v>3</v>
      </c>
      <c r="B4" s="7"/>
      <c r="C4" s="7"/>
      <c r="D4" s="7">
        <v>1</v>
      </c>
      <c r="E4" s="7"/>
      <c r="F4" s="7"/>
      <c r="G4" s="7"/>
      <c r="H4" s="7"/>
      <c r="I4" s="7"/>
      <c r="J4" s="29">
        <f t="shared" ref="J4:J40" si="0">C4+E4+G4+I4</f>
        <v>0</v>
      </c>
    </row>
    <row r="5" spans="1:10">
      <c r="A5" s="4" t="s">
        <v>4</v>
      </c>
      <c r="B5" s="7"/>
      <c r="C5" s="7"/>
      <c r="D5" s="7">
        <v>2</v>
      </c>
      <c r="E5" s="7"/>
      <c r="F5" s="7"/>
      <c r="G5" s="7"/>
      <c r="H5" s="7"/>
      <c r="I5" s="7"/>
      <c r="J5" s="29">
        <f t="shared" si="0"/>
        <v>0</v>
      </c>
    </row>
    <row r="6" spans="1:10">
      <c r="A6" s="4" t="s">
        <v>5</v>
      </c>
      <c r="B6" s="7"/>
      <c r="C6" s="7"/>
      <c r="D6" s="7">
        <v>3</v>
      </c>
      <c r="E6" s="7"/>
      <c r="F6" s="7"/>
      <c r="G6" s="7"/>
      <c r="H6" s="7"/>
      <c r="I6" s="7"/>
      <c r="J6" s="29">
        <f t="shared" si="0"/>
        <v>0</v>
      </c>
    </row>
    <row r="7" spans="1:10">
      <c r="A7" s="4" t="s">
        <v>6</v>
      </c>
      <c r="B7" s="7"/>
      <c r="C7" s="7"/>
      <c r="D7" s="7">
        <v>4</v>
      </c>
      <c r="E7" s="7">
        <v>12</v>
      </c>
      <c r="F7" s="7">
        <v>1</v>
      </c>
      <c r="G7" s="7">
        <v>8</v>
      </c>
      <c r="H7" s="7"/>
      <c r="I7" s="7"/>
      <c r="J7" s="29">
        <f t="shared" si="0"/>
        <v>20</v>
      </c>
    </row>
    <row r="8" spans="1:10">
      <c r="A8" s="4" t="s">
        <v>7</v>
      </c>
      <c r="B8" s="7"/>
      <c r="C8" s="7"/>
      <c r="D8" s="7">
        <v>5</v>
      </c>
      <c r="E8" s="7">
        <v>2</v>
      </c>
      <c r="F8" s="7">
        <v>2</v>
      </c>
      <c r="G8" s="7">
        <v>31</v>
      </c>
      <c r="H8" s="7"/>
      <c r="I8" s="7"/>
      <c r="J8" s="29">
        <f t="shared" si="0"/>
        <v>33</v>
      </c>
    </row>
    <row r="9" spans="1:10">
      <c r="A9" s="4" t="s">
        <v>9</v>
      </c>
      <c r="B9" s="7">
        <v>1</v>
      </c>
      <c r="C9" s="7">
        <v>28</v>
      </c>
      <c r="D9" s="7">
        <v>6</v>
      </c>
      <c r="E9" s="7">
        <v>16</v>
      </c>
      <c r="F9" s="7">
        <v>3</v>
      </c>
      <c r="G9" s="7">
        <v>12</v>
      </c>
      <c r="H9" s="7">
        <v>1</v>
      </c>
      <c r="I9" s="7"/>
      <c r="J9" s="29">
        <f t="shared" si="0"/>
        <v>56</v>
      </c>
    </row>
    <row r="10" spans="1:10">
      <c r="A10" s="5" t="s">
        <v>8</v>
      </c>
      <c r="B10" s="7">
        <v>2</v>
      </c>
      <c r="C10" s="7"/>
      <c r="D10" s="7">
        <v>7</v>
      </c>
      <c r="E10" s="7"/>
      <c r="F10" s="7">
        <v>4</v>
      </c>
      <c r="G10" s="7"/>
      <c r="H10" s="7">
        <v>2</v>
      </c>
      <c r="I10" s="7"/>
      <c r="J10" s="29">
        <f t="shared" si="0"/>
        <v>0</v>
      </c>
    </row>
    <row r="11" spans="1:10">
      <c r="A11" s="4" t="s">
        <v>3</v>
      </c>
      <c r="B11" s="7">
        <v>3</v>
      </c>
      <c r="C11" s="7">
        <v>28</v>
      </c>
      <c r="D11" s="7">
        <v>8</v>
      </c>
      <c r="E11" s="7">
        <v>21</v>
      </c>
      <c r="F11" s="7">
        <v>5</v>
      </c>
      <c r="G11" s="7">
        <v>17</v>
      </c>
      <c r="H11" s="7">
        <v>3</v>
      </c>
      <c r="I11" s="7">
        <v>9</v>
      </c>
      <c r="J11" s="29">
        <f t="shared" si="0"/>
        <v>75</v>
      </c>
    </row>
    <row r="12" spans="1:10">
      <c r="A12" s="4" t="s">
        <v>4</v>
      </c>
      <c r="B12" s="7">
        <v>4</v>
      </c>
      <c r="C12" s="7">
        <v>18</v>
      </c>
      <c r="D12" s="7">
        <v>9</v>
      </c>
      <c r="E12" s="7">
        <v>19</v>
      </c>
      <c r="F12" s="7">
        <v>6</v>
      </c>
      <c r="G12" s="7">
        <v>11</v>
      </c>
      <c r="H12" s="7">
        <v>4</v>
      </c>
      <c r="I12" s="7">
        <v>16</v>
      </c>
      <c r="J12" s="29">
        <f t="shared" si="0"/>
        <v>64</v>
      </c>
    </row>
    <row r="13" spans="1:10">
      <c r="A13" s="4" t="s">
        <v>5</v>
      </c>
      <c r="B13" s="7">
        <v>5</v>
      </c>
      <c r="C13" s="7">
        <v>16</v>
      </c>
      <c r="D13" s="7">
        <v>10</v>
      </c>
      <c r="E13" s="7">
        <v>28</v>
      </c>
      <c r="F13" s="7">
        <v>7</v>
      </c>
      <c r="G13" s="7">
        <v>14</v>
      </c>
      <c r="H13" s="7">
        <v>5</v>
      </c>
      <c r="I13" s="7">
        <v>5</v>
      </c>
      <c r="J13" s="29">
        <f t="shared" si="0"/>
        <v>63</v>
      </c>
    </row>
    <row r="14" spans="1:10">
      <c r="A14" s="4" t="s">
        <v>6</v>
      </c>
      <c r="B14" s="7">
        <v>6</v>
      </c>
      <c r="C14" s="7">
        <v>22</v>
      </c>
      <c r="D14" s="7">
        <v>11</v>
      </c>
      <c r="E14" s="7">
        <v>15</v>
      </c>
      <c r="F14" s="7">
        <v>8</v>
      </c>
      <c r="G14" s="7">
        <v>9</v>
      </c>
      <c r="H14" s="7">
        <v>6</v>
      </c>
      <c r="I14" s="7">
        <v>14</v>
      </c>
      <c r="J14" s="29">
        <f t="shared" si="0"/>
        <v>60</v>
      </c>
    </row>
    <row r="15" spans="1:10">
      <c r="A15" s="4" t="s">
        <v>7</v>
      </c>
      <c r="B15" s="7">
        <v>7</v>
      </c>
      <c r="C15" s="7">
        <v>9</v>
      </c>
      <c r="D15" s="7">
        <v>12</v>
      </c>
      <c r="E15" s="7">
        <v>48</v>
      </c>
      <c r="F15" s="7">
        <v>9</v>
      </c>
      <c r="G15" s="7">
        <v>16</v>
      </c>
      <c r="H15" s="7">
        <v>7</v>
      </c>
      <c r="I15" s="7">
        <v>21</v>
      </c>
      <c r="J15" s="29">
        <f t="shared" si="0"/>
        <v>94</v>
      </c>
    </row>
    <row r="16" spans="1:10">
      <c r="A16" s="4" t="s">
        <v>9</v>
      </c>
      <c r="B16" s="7">
        <v>8</v>
      </c>
      <c r="C16" s="7">
        <v>9</v>
      </c>
      <c r="D16" s="7">
        <v>13</v>
      </c>
      <c r="E16" s="7">
        <v>30</v>
      </c>
      <c r="F16" s="7">
        <v>10</v>
      </c>
      <c r="G16" s="7">
        <v>21</v>
      </c>
      <c r="H16" s="7">
        <v>8</v>
      </c>
      <c r="I16" s="7">
        <v>21</v>
      </c>
      <c r="J16" s="29">
        <f t="shared" si="0"/>
        <v>81</v>
      </c>
    </row>
    <row r="17" spans="1:10">
      <c r="A17" s="5" t="s">
        <v>8</v>
      </c>
      <c r="B17" s="7">
        <v>9</v>
      </c>
      <c r="C17" s="7"/>
      <c r="D17" s="7">
        <v>14</v>
      </c>
      <c r="E17" s="7"/>
      <c r="F17" s="7">
        <v>11</v>
      </c>
      <c r="G17" s="7"/>
      <c r="H17" s="7">
        <v>9</v>
      </c>
      <c r="I17" s="7"/>
      <c r="J17" s="29">
        <f t="shared" si="0"/>
        <v>0</v>
      </c>
    </row>
    <row r="18" spans="1:10">
      <c r="A18" s="4" t="s">
        <v>3</v>
      </c>
      <c r="B18" s="7">
        <v>10</v>
      </c>
      <c r="C18" s="7">
        <v>18</v>
      </c>
      <c r="D18" s="7">
        <v>15</v>
      </c>
      <c r="E18" s="7">
        <v>26</v>
      </c>
      <c r="F18" s="7">
        <v>12</v>
      </c>
      <c r="G18" s="7">
        <v>19</v>
      </c>
      <c r="H18" s="7">
        <v>10</v>
      </c>
      <c r="I18" s="7">
        <v>10</v>
      </c>
      <c r="J18" s="29">
        <f t="shared" si="0"/>
        <v>73</v>
      </c>
    </row>
    <row r="19" spans="1:10">
      <c r="A19" s="4" t="s">
        <v>4</v>
      </c>
      <c r="B19" s="7">
        <v>11</v>
      </c>
      <c r="C19" s="7">
        <v>13</v>
      </c>
      <c r="D19" s="7">
        <v>16</v>
      </c>
      <c r="E19" s="7">
        <v>3</v>
      </c>
      <c r="F19" s="7">
        <v>13</v>
      </c>
      <c r="G19" s="7">
        <v>6</v>
      </c>
      <c r="H19" s="7">
        <v>11</v>
      </c>
      <c r="I19" s="7">
        <v>21</v>
      </c>
      <c r="J19" s="29">
        <f t="shared" si="0"/>
        <v>43</v>
      </c>
    </row>
    <row r="20" spans="1:10">
      <c r="A20" s="4" t="s">
        <v>5</v>
      </c>
      <c r="B20" s="7">
        <v>12</v>
      </c>
      <c r="C20" s="7">
        <v>8</v>
      </c>
      <c r="D20" s="7">
        <v>17</v>
      </c>
      <c r="E20" s="7">
        <v>28</v>
      </c>
      <c r="F20" s="7">
        <v>14</v>
      </c>
      <c r="G20" s="7">
        <v>5</v>
      </c>
      <c r="H20" s="7">
        <v>12</v>
      </c>
      <c r="I20" s="7">
        <v>4</v>
      </c>
      <c r="J20" s="29">
        <f t="shared" si="0"/>
        <v>45</v>
      </c>
    </row>
    <row r="21" spans="1:10">
      <c r="A21" s="4" t="s">
        <v>6</v>
      </c>
      <c r="B21" s="7">
        <v>13</v>
      </c>
      <c r="C21" s="7">
        <v>8</v>
      </c>
      <c r="D21" s="7">
        <v>18</v>
      </c>
      <c r="E21" s="7">
        <v>3</v>
      </c>
      <c r="F21" s="7">
        <v>15</v>
      </c>
      <c r="G21" s="7">
        <v>6</v>
      </c>
      <c r="H21" s="7">
        <v>13</v>
      </c>
      <c r="I21" s="7">
        <v>5</v>
      </c>
      <c r="J21" s="29">
        <f t="shared" si="0"/>
        <v>22</v>
      </c>
    </row>
    <row r="22" spans="1:10">
      <c r="A22" s="4" t="s">
        <v>7</v>
      </c>
      <c r="B22" s="7">
        <v>14</v>
      </c>
      <c r="C22" s="7">
        <v>6</v>
      </c>
      <c r="D22" s="7">
        <v>19</v>
      </c>
      <c r="E22" s="7">
        <v>1</v>
      </c>
      <c r="F22" s="7">
        <v>16</v>
      </c>
      <c r="G22" s="7">
        <v>29</v>
      </c>
      <c r="H22" s="7">
        <v>14</v>
      </c>
      <c r="I22" s="7">
        <v>11</v>
      </c>
      <c r="J22" s="29">
        <f t="shared" si="0"/>
        <v>47</v>
      </c>
    </row>
    <row r="23" spans="1:10">
      <c r="A23" s="4" t="s">
        <v>9</v>
      </c>
      <c r="B23" s="7">
        <v>15</v>
      </c>
      <c r="C23" s="7">
        <v>24</v>
      </c>
      <c r="D23" s="7">
        <v>20</v>
      </c>
      <c r="E23" s="7">
        <v>8</v>
      </c>
      <c r="F23" s="7">
        <v>17</v>
      </c>
      <c r="G23" s="7">
        <v>24</v>
      </c>
      <c r="H23" s="7">
        <v>15</v>
      </c>
      <c r="I23" s="7">
        <v>16</v>
      </c>
      <c r="J23" s="29">
        <f t="shared" si="0"/>
        <v>72</v>
      </c>
    </row>
    <row r="24" spans="1:10">
      <c r="A24" s="5" t="s">
        <v>8</v>
      </c>
      <c r="B24" s="7">
        <v>16</v>
      </c>
      <c r="C24" s="7"/>
      <c r="D24" s="7">
        <v>21</v>
      </c>
      <c r="E24" s="7"/>
      <c r="F24" s="7">
        <v>18</v>
      </c>
      <c r="G24" s="7"/>
      <c r="H24" s="7">
        <v>16</v>
      </c>
      <c r="I24" s="7"/>
      <c r="J24" s="29">
        <f t="shared" si="0"/>
        <v>0</v>
      </c>
    </row>
    <row r="25" spans="1:10">
      <c r="A25" s="4" t="s">
        <v>3</v>
      </c>
      <c r="B25" s="7">
        <v>17</v>
      </c>
      <c r="C25" s="7">
        <v>6</v>
      </c>
      <c r="D25" s="7">
        <v>22</v>
      </c>
      <c r="E25" s="7">
        <v>4</v>
      </c>
      <c r="F25" s="7">
        <v>19</v>
      </c>
      <c r="G25" s="7">
        <v>16</v>
      </c>
      <c r="H25" s="7">
        <v>17</v>
      </c>
      <c r="I25" s="7">
        <v>21</v>
      </c>
      <c r="J25" s="29">
        <f t="shared" si="0"/>
        <v>47</v>
      </c>
    </row>
    <row r="26" spans="1:10">
      <c r="A26" s="4" t="s">
        <v>4</v>
      </c>
      <c r="B26" s="7">
        <v>18</v>
      </c>
      <c r="C26" s="7">
        <v>16</v>
      </c>
      <c r="D26" s="7">
        <v>23</v>
      </c>
      <c r="E26" s="7">
        <v>4</v>
      </c>
      <c r="F26" s="7">
        <v>20</v>
      </c>
      <c r="G26" s="7">
        <v>5</v>
      </c>
      <c r="H26" s="7">
        <v>18</v>
      </c>
      <c r="I26" s="7">
        <v>11</v>
      </c>
      <c r="J26" s="29">
        <f t="shared" si="0"/>
        <v>36</v>
      </c>
    </row>
    <row r="27" spans="1:10">
      <c r="A27" s="4" t="s">
        <v>5</v>
      </c>
      <c r="B27" s="7">
        <v>19</v>
      </c>
      <c r="C27" s="7">
        <v>15</v>
      </c>
      <c r="D27" s="7">
        <v>24</v>
      </c>
      <c r="E27" s="7">
        <v>7</v>
      </c>
      <c r="F27" s="7">
        <v>21</v>
      </c>
      <c r="G27" s="7">
        <v>14</v>
      </c>
      <c r="H27" s="7">
        <v>19</v>
      </c>
      <c r="I27" s="7">
        <v>16</v>
      </c>
      <c r="J27" s="29">
        <f t="shared" si="0"/>
        <v>52</v>
      </c>
    </row>
    <row r="28" spans="1:10">
      <c r="A28" s="4" t="s">
        <v>6</v>
      </c>
      <c r="B28" s="7">
        <v>20</v>
      </c>
      <c r="C28" s="7">
        <v>12</v>
      </c>
      <c r="D28" s="7">
        <v>25</v>
      </c>
      <c r="E28" s="7">
        <v>71</v>
      </c>
      <c r="F28" s="7">
        <v>22</v>
      </c>
      <c r="G28" s="7">
        <v>4</v>
      </c>
      <c r="H28" s="7">
        <v>20</v>
      </c>
      <c r="I28" s="7">
        <v>12</v>
      </c>
      <c r="J28" s="29">
        <f t="shared" si="0"/>
        <v>99</v>
      </c>
    </row>
    <row r="29" spans="1:10">
      <c r="A29" s="4" t="s">
        <v>7</v>
      </c>
      <c r="B29" s="7">
        <v>21</v>
      </c>
      <c r="C29" s="7">
        <v>16</v>
      </c>
      <c r="D29" s="7">
        <v>26</v>
      </c>
      <c r="E29" s="7">
        <v>18</v>
      </c>
      <c r="F29" s="7">
        <v>23</v>
      </c>
      <c r="G29" s="7">
        <v>8</v>
      </c>
      <c r="H29" s="7">
        <v>21</v>
      </c>
      <c r="I29" s="7">
        <v>13</v>
      </c>
      <c r="J29" s="29">
        <f t="shared" si="0"/>
        <v>55</v>
      </c>
    </row>
    <row r="30" spans="1:10">
      <c r="A30" s="4" t="s">
        <v>9</v>
      </c>
      <c r="B30" s="7">
        <v>22</v>
      </c>
      <c r="C30" s="7">
        <v>26</v>
      </c>
      <c r="D30" s="7">
        <v>27</v>
      </c>
      <c r="E30" s="7">
        <v>28</v>
      </c>
      <c r="F30" s="7">
        <v>24</v>
      </c>
      <c r="G30" s="7">
        <v>16</v>
      </c>
      <c r="H30" s="7">
        <v>22</v>
      </c>
      <c r="I30" s="7">
        <v>27</v>
      </c>
      <c r="J30" s="29">
        <f t="shared" si="0"/>
        <v>97</v>
      </c>
    </row>
    <row r="31" spans="1:10">
      <c r="A31" s="5" t="s">
        <v>8</v>
      </c>
      <c r="B31" s="7">
        <v>23</v>
      </c>
      <c r="C31" s="7"/>
      <c r="D31" s="7">
        <v>28</v>
      </c>
      <c r="E31" s="7"/>
      <c r="F31" s="7">
        <v>25</v>
      </c>
      <c r="G31" s="7"/>
      <c r="H31" s="7">
        <v>23</v>
      </c>
      <c r="I31" s="7"/>
      <c r="J31" s="29">
        <f t="shared" si="0"/>
        <v>0</v>
      </c>
    </row>
    <row r="32" spans="1:10">
      <c r="A32" s="4" t="s">
        <v>3</v>
      </c>
      <c r="B32" s="7">
        <v>24</v>
      </c>
      <c r="C32" s="7">
        <v>12</v>
      </c>
      <c r="D32" s="7">
        <v>29</v>
      </c>
      <c r="E32" s="7">
        <v>15</v>
      </c>
      <c r="F32" s="7">
        <v>26</v>
      </c>
      <c r="G32" s="7">
        <v>18</v>
      </c>
      <c r="H32" s="7">
        <v>24</v>
      </c>
      <c r="I32" s="7">
        <v>9</v>
      </c>
      <c r="J32" s="29">
        <f t="shared" si="0"/>
        <v>54</v>
      </c>
    </row>
    <row r="33" spans="1:10">
      <c r="A33" s="4" t="s">
        <v>4</v>
      </c>
      <c r="B33" s="7">
        <v>25</v>
      </c>
      <c r="C33" s="7">
        <v>16</v>
      </c>
      <c r="D33" s="7">
        <v>30</v>
      </c>
      <c r="E33" s="7">
        <v>15</v>
      </c>
      <c r="F33" s="7">
        <v>27</v>
      </c>
      <c r="G33" s="7">
        <v>14</v>
      </c>
      <c r="H33" s="7">
        <v>25</v>
      </c>
      <c r="I33" s="7">
        <v>11</v>
      </c>
      <c r="J33" s="29">
        <f t="shared" si="0"/>
        <v>56</v>
      </c>
    </row>
    <row r="34" spans="1:10">
      <c r="A34" s="4" t="s">
        <v>5</v>
      </c>
      <c r="B34" s="7">
        <v>26</v>
      </c>
      <c r="C34" s="7">
        <v>15</v>
      </c>
      <c r="D34" s="7">
        <v>31</v>
      </c>
      <c r="E34" s="7">
        <v>12</v>
      </c>
      <c r="F34" s="7">
        <v>28</v>
      </c>
      <c r="G34" s="7">
        <v>8</v>
      </c>
      <c r="H34" s="7">
        <v>26</v>
      </c>
      <c r="I34" s="7">
        <v>15</v>
      </c>
      <c r="J34" s="29">
        <f t="shared" si="0"/>
        <v>50</v>
      </c>
    </row>
    <row r="35" spans="1:10">
      <c r="A35" s="4" t="s">
        <v>6</v>
      </c>
      <c r="B35" s="7">
        <v>27</v>
      </c>
      <c r="C35" s="7">
        <v>7</v>
      </c>
      <c r="D35" s="7"/>
      <c r="E35" s="7"/>
      <c r="F35" s="7">
        <v>29</v>
      </c>
      <c r="G35" s="7"/>
      <c r="H35" s="7">
        <v>27</v>
      </c>
      <c r="I35" s="7">
        <v>29</v>
      </c>
      <c r="J35" s="29">
        <f t="shared" si="0"/>
        <v>36</v>
      </c>
    </row>
    <row r="36" spans="1:10">
      <c r="A36" s="4" t="s">
        <v>7</v>
      </c>
      <c r="B36" s="7">
        <v>28</v>
      </c>
      <c r="C36" s="7">
        <v>2</v>
      </c>
      <c r="D36" s="7"/>
      <c r="E36" s="7"/>
      <c r="F36" s="7">
        <v>30</v>
      </c>
      <c r="G36" s="7"/>
      <c r="H36" s="7">
        <v>28</v>
      </c>
      <c r="I36" s="7">
        <v>3</v>
      </c>
      <c r="J36" s="29">
        <f t="shared" si="0"/>
        <v>5</v>
      </c>
    </row>
    <row r="37" spans="1:10">
      <c r="A37" s="4" t="s">
        <v>9</v>
      </c>
      <c r="B37" s="7">
        <v>29</v>
      </c>
      <c r="C37" s="7"/>
      <c r="D37" s="7"/>
      <c r="E37" s="7"/>
      <c r="F37" s="7"/>
      <c r="G37" s="7"/>
      <c r="H37" s="7">
        <v>29</v>
      </c>
      <c r="I37" s="7"/>
      <c r="J37" s="29">
        <f t="shared" si="0"/>
        <v>0</v>
      </c>
    </row>
    <row r="38" spans="1:10">
      <c r="A38" s="5" t="s">
        <v>8</v>
      </c>
      <c r="B38" s="7">
        <v>30</v>
      </c>
      <c r="C38" s="7"/>
      <c r="D38" s="7"/>
      <c r="E38" s="7"/>
      <c r="F38" s="7"/>
      <c r="G38" s="7"/>
      <c r="H38" s="7">
        <v>30</v>
      </c>
      <c r="I38" s="7"/>
      <c r="J38" s="29">
        <f t="shared" si="0"/>
        <v>0</v>
      </c>
    </row>
    <row r="39" spans="1:10">
      <c r="A39" s="4"/>
      <c r="B39" s="7"/>
      <c r="C39" s="7"/>
      <c r="D39" s="7"/>
      <c r="E39" s="7"/>
      <c r="F39" s="7"/>
      <c r="G39" s="7"/>
      <c r="H39" s="7"/>
      <c r="I39" s="7"/>
      <c r="J39" s="29">
        <f t="shared" si="0"/>
        <v>0</v>
      </c>
    </row>
    <row r="40" spans="1:10">
      <c r="A40" s="8" t="s">
        <v>11</v>
      </c>
      <c r="B40" s="9"/>
      <c r="C40" s="9">
        <f>SUM(C4:C39)</f>
        <v>350</v>
      </c>
      <c r="D40" s="9"/>
      <c r="E40" s="9">
        <f>SUM(E4:E39)</f>
        <v>434</v>
      </c>
      <c r="F40" s="9"/>
      <c r="G40" s="9">
        <f>SUM(G4:G39)</f>
        <v>331</v>
      </c>
      <c r="H40" s="9"/>
      <c r="I40" s="9">
        <f>SUM(I4:I39)</f>
        <v>320</v>
      </c>
      <c r="J40" s="29">
        <f t="shared" si="0"/>
        <v>1435</v>
      </c>
    </row>
  </sheetData>
  <pageMargins left="0.70866141732283472" right="0.70866141732283472" top="0.74803149606299213" bottom="0.74803149606299213" header="0.31496062992125984" footer="0.31496062992125984"/>
  <pageSetup scale="63" orientation="landscape" horizontalDpi="120" verticalDpi="72" r:id="rId1"/>
  <drawing r:id="rId2"/>
  <legacyDrawing r:id="rId3"/>
  <controls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Y36"/>
  <sheetViews>
    <sheetView workbookViewId="0">
      <pane ySplit="3" topLeftCell="A4" activePane="bottomLeft" state="frozen"/>
      <selection pane="bottomLeft" activeCell="L21" sqref="L21"/>
    </sheetView>
  </sheetViews>
  <sheetFormatPr baseColWidth="10" defaultRowHeight="15"/>
  <cols>
    <col min="2" max="13" width="8.7109375" customWidth="1"/>
    <col min="14" max="25" width="8.7109375" style="15" customWidth="1"/>
  </cols>
  <sheetData>
    <row r="1" spans="1:25" ht="33.75" customHeight="1">
      <c r="A1" s="12" t="s">
        <v>13</v>
      </c>
      <c r="B1" s="13" t="s">
        <v>27</v>
      </c>
      <c r="C1" s="10"/>
      <c r="D1" s="10"/>
      <c r="E1" s="10"/>
      <c r="F1" s="10"/>
      <c r="G1" s="10"/>
      <c r="H1" s="10"/>
      <c r="I1" s="10"/>
    </row>
    <row r="2" spans="1:25" ht="15.75">
      <c r="A2" s="10"/>
      <c r="B2" s="30" t="s">
        <v>12</v>
      </c>
      <c r="C2" s="30"/>
      <c r="D2" s="30"/>
      <c r="E2" s="30"/>
      <c r="F2" s="30"/>
      <c r="G2" s="30"/>
      <c r="H2" s="30"/>
      <c r="I2" s="30"/>
      <c r="J2" s="30"/>
      <c r="K2" s="30"/>
      <c r="L2" s="30"/>
      <c r="N2" s="31" t="s">
        <v>10</v>
      </c>
      <c r="O2" s="31"/>
      <c r="P2" s="31"/>
      <c r="Q2" s="31"/>
      <c r="R2" s="31"/>
      <c r="S2" s="31"/>
      <c r="T2" s="31"/>
      <c r="U2" s="31"/>
      <c r="V2" s="31"/>
      <c r="W2" s="31"/>
      <c r="X2" s="31"/>
    </row>
    <row r="3" spans="1:25" s="17" customFormat="1" ht="24">
      <c r="A3" s="16" t="s">
        <v>14</v>
      </c>
      <c r="B3" s="18" t="s">
        <v>16</v>
      </c>
      <c r="C3" s="18" t="s">
        <v>15</v>
      </c>
      <c r="D3" s="18" t="s">
        <v>17</v>
      </c>
      <c r="E3" s="18" t="s">
        <v>18</v>
      </c>
      <c r="F3" s="18" t="s">
        <v>19</v>
      </c>
      <c r="G3" s="18" t="s">
        <v>20</v>
      </c>
      <c r="H3" s="18" t="s">
        <v>21</v>
      </c>
      <c r="I3" s="18" t="s">
        <v>22</v>
      </c>
      <c r="J3" s="18" t="s">
        <v>23</v>
      </c>
      <c r="K3" s="18" t="s">
        <v>24</v>
      </c>
      <c r="L3" s="18" t="s">
        <v>26</v>
      </c>
      <c r="M3" s="18" t="s">
        <v>25</v>
      </c>
      <c r="N3" s="19" t="s">
        <v>16</v>
      </c>
      <c r="O3" s="19" t="s">
        <v>15</v>
      </c>
      <c r="P3" s="19" t="s">
        <v>17</v>
      </c>
      <c r="Q3" s="19" t="s">
        <v>18</v>
      </c>
      <c r="R3" s="19" t="s">
        <v>19</v>
      </c>
      <c r="S3" s="19" t="s">
        <v>20</v>
      </c>
      <c r="T3" s="19" t="s">
        <v>21</v>
      </c>
      <c r="U3" s="19" t="s">
        <v>22</v>
      </c>
      <c r="V3" s="19" t="s">
        <v>23</v>
      </c>
      <c r="W3" s="19" t="s">
        <v>24</v>
      </c>
      <c r="X3" s="19" t="s">
        <v>26</v>
      </c>
      <c r="Y3" s="19" t="s">
        <v>25</v>
      </c>
    </row>
    <row r="4" spans="1:25">
      <c r="A4" s="14" t="s">
        <v>28</v>
      </c>
      <c r="B4" s="22">
        <v>77</v>
      </c>
      <c r="C4" s="22">
        <v>0</v>
      </c>
      <c r="D4" s="22">
        <v>49</v>
      </c>
      <c r="E4" s="22">
        <v>61</v>
      </c>
      <c r="F4" s="22">
        <v>12</v>
      </c>
      <c r="G4" s="22">
        <v>52</v>
      </c>
      <c r="H4" s="22">
        <v>67</v>
      </c>
      <c r="I4" s="22">
        <v>43</v>
      </c>
      <c r="J4" s="22">
        <v>62</v>
      </c>
      <c r="K4" s="22">
        <v>35</v>
      </c>
      <c r="L4" s="22">
        <v>48</v>
      </c>
      <c r="M4" s="24">
        <v>506</v>
      </c>
      <c r="N4" s="15">
        <v>2836.7199999999993</v>
      </c>
      <c r="O4" s="15">
        <v>0</v>
      </c>
      <c r="P4" s="15">
        <v>1823.0199999999993</v>
      </c>
      <c r="Q4" s="15">
        <v>2072.7799999999993</v>
      </c>
      <c r="R4" s="15">
        <v>562.1</v>
      </c>
      <c r="S4" s="15">
        <v>2421.9599999999996</v>
      </c>
      <c r="T4" s="15">
        <v>2846.0499999999993</v>
      </c>
      <c r="U4" s="15">
        <v>1920.0599999999993</v>
      </c>
      <c r="V4" s="15">
        <v>2559.8399999999997</v>
      </c>
      <c r="W4" s="15">
        <v>1387.8100000000002</v>
      </c>
      <c r="X4" s="15">
        <v>2029.8599999999997</v>
      </c>
      <c r="Y4" s="26">
        <v>20460.199999999997</v>
      </c>
    </row>
    <row r="5" spans="1:25">
      <c r="A5" s="14" t="s">
        <v>29</v>
      </c>
      <c r="B5" s="22">
        <v>47</v>
      </c>
      <c r="C5" s="22">
        <v>0</v>
      </c>
      <c r="D5" s="22">
        <v>24</v>
      </c>
      <c r="E5" s="22">
        <v>10</v>
      </c>
      <c r="F5" s="22">
        <v>0</v>
      </c>
      <c r="G5" s="22">
        <v>11</v>
      </c>
      <c r="H5" s="22">
        <v>13</v>
      </c>
      <c r="I5" s="22">
        <v>58</v>
      </c>
      <c r="J5" s="22">
        <v>38</v>
      </c>
      <c r="K5" s="22">
        <v>42</v>
      </c>
      <c r="L5" s="22">
        <v>18</v>
      </c>
      <c r="M5" s="24">
        <v>261</v>
      </c>
      <c r="N5" s="15">
        <v>1252.7600000000002</v>
      </c>
      <c r="O5" s="15">
        <v>0</v>
      </c>
      <c r="P5" s="15">
        <v>856.45</v>
      </c>
      <c r="Q5" s="15">
        <v>467.81</v>
      </c>
      <c r="R5" s="15">
        <v>0</v>
      </c>
      <c r="S5" s="15">
        <v>500.76</v>
      </c>
      <c r="T5" s="15">
        <v>570.08000000000004</v>
      </c>
      <c r="U5" s="15">
        <v>2338.2999999999993</v>
      </c>
      <c r="V5" s="15">
        <v>1830.7</v>
      </c>
      <c r="W5" s="15">
        <v>1562.4899999999998</v>
      </c>
      <c r="X5" s="15">
        <v>667.98000000000013</v>
      </c>
      <c r="Y5" s="26">
        <v>10047.33</v>
      </c>
    </row>
    <row r="6" spans="1:25">
      <c r="A6" s="14" t="s">
        <v>30</v>
      </c>
      <c r="B6" s="22">
        <v>46</v>
      </c>
      <c r="C6" s="22">
        <v>9</v>
      </c>
      <c r="D6" s="22">
        <v>27</v>
      </c>
      <c r="E6" s="22">
        <v>38</v>
      </c>
      <c r="F6" s="22">
        <v>20</v>
      </c>
      <c r="G6" s="22">
        <v>18</v>
      </c>
      <c r="H6" s="22">
        <v>37</v>
      </c>
      <c r="I6" s="22">
        <v>36</v>
      </c>
      <c r="J6" s="22">
        <v>129</v>
      </c>
      <c r="K6" s="22">
        <v>23</v>
      </c>
      <c r="L6" s="22">
        <v>30</v>
      </c>
      <c r="M6" s="24">
        <v>413</v>
      </c>
      <c r="N6" s="15">
        <v>1506.3499999999995</v>
      </c>
      <c r="O6" s="15">
        <v>493.83</v>
      </c>
      <c r="P6" s="15">
        <v>1209.58</v>
      </c>
      <c r="Q6" s="15">
        <v>1303.6000000000001</v>
      </c>
      <c r="R6" s="15">
        <v>704.43999999999983</v>
      </c>
      <c r="S6" s="15">
        <v>816.28000000000009</v>
      </c>
      <c r="T6" s="15">
        <v>1290.07</v>
      </c>
      <c r="U6" s="15">
        <v>1080.8699999999999</v>
      </c>
      <c r="V6" s="15">
        <v>3679.8299999999995</v>
      </c>
      <c r="W6" s="15">
        <v>826.86999999999989</v>
      </c>
      <c r="X6" s="15">
        <v>946.60999999999967</v>
      </c>
      <c r="Y6" s="26">
        <v>13858.33</v>
      </c>
    </row>
    <row r="7" spans="1:25">
      <c r="A7" s="14" t="s">
        <v>31</v>
      </c>
      <c r="B7" s="22">
        <v>44</v>
      </c>
      <c r="C7" s="22">
        <v>16</v>
      </c>
      <c r="D7" s="22">
        <v>16</v>
      </c>
      <c r="E7" s="22">
        <v>53</v>
      </c>
      <c r="F7" s="22">
        <v>7</v>
      </c>
      <c r="G7" s="22">
        <v>24</v>
      </c>
      <c r="H7" s="22">
        <v>22</v>
      </c>
      <c r="I7" s="22">
        <v>20</v>
      </c>
      <c r="J7" s="22">
        <v>38</v>
      </c>
      <c r="K7" s="22">
        <v>35</v>
      </c>
      <c r="L7" s="22">
        <v>26</v>
      </c>
      <c r="M7" s="24">
        <v>301</v>
      </c>
      <c r="N7" s="15">
        <v>1282.33</v>
      </c>
      <c r="O7" s="15">
        <v>816.3</v>
      </c>
      <c r="P7" s="15">
        <v>558.80999999999995</v>
      </c>
      <c r="Q7" s="15">
        <v>1931.8999999999992</v>
      </c>
      <c r="R7" s="15">
        <v>203.16</v>
      </c>
      <c r="S7" s="15">
        <v>1186.8799999999999</v>
      </c>
      <c r="T7" s="15">
        <v>879.4799999999999</v>
      </c>
      <c r="U7" s="15">
        <v>772.86999999999989</v>
      </c>
      <c r="V7" s="15">
        <v>1486.6299999999997</v>
      </c>
      <c r="W7" s="15">
        <v>1231.78</v>
      </c>
      <c r="X7" s="15">
        <v>927.4699999999998</v>
      </c>
      <c r="Y7" s="26">
        <v>11277.609999999997</v>
      </c>
    </row>
    <row r="8" spans="1:25">
      <c r="A8" s="14" t="s">
        <v>32</v>
      </c>
      <c r="B8" s="22">
        <v>21</v>
      </c>
      <c r="C8" s="22">
        <v>5</v>
      </c>
      <c r="D8" s="22">
        <v>30</v>
      </c>
      <c r="E8" s="22">
        <v>47</v>
      </c>
      <c r="F8" s="22">
        <v>4</v>
      </c>
      <c r="G8" s="22">
        <v>19</v>
      </c>
      <c r="H8" s="22">
        <v>17</v>
      </c>
      <c r="I8" s="22">
        <v>31</v>
      </c>
      <c r="J8" s="22">
        <v>34</v>
      </c>
      <c r="K8" s="22">
        <v>17</v>
      </c>
      <c r="L8" s="22">
        <v>30</v>
      </c>
      <c r="M8" s="24">
        <v>255</v>
      </c>
      <c r="N8" s="15">
        <v>746.54</v>
      </c>
      <c r="O8" s="15">
        <v>175.71</v>
      </c>
      <c r="P8" s="15">
        <v>858.09</v>
      </c>
      <c r="Q8" s="15">
        <v>1571.44</v>
      </c>
      <c r="R8" s="15">
        <v>172.79</v>
      </c>
      <c r="S8" s="15">
        <v>804.31999999999994</v>
      </c>
      <c r="T8" s="15">
        <v>716.35</v>
      </c>
      <c r="U8" s="15">
        <v>1102.4399999999998</v>
      </c>
      <c r="V8" s="15">
        <v>1197.9999999999998</v>
      </c>
      <c r="W8" s="15">
        <v>671.45</v>
      </c>
      <c r="X8" s="15">
        <v>874.56000000000017</v>
      </c>
      <c r="Y8" s="26">
        <v>8891.6899999999987</v>
      </c>
    </row>
    <row r="9" spans="1:25">
      <c r="A9" s="14" t="s">
        <v>33</v>
      </c>
      <c r="B9" s="22">
        <v>23</v>
      </c>
      <c r="C9" s="22">
        <v>14</v>
      </c>
      <c r="D9" s="22">
        <v>17</v>
      </c>
      <c r="E9" s="22">
        <v>41</v>
      </c>
      <c r="F9" s="22">
        <v>18</v>
      </c>
      <c r="G9" s="22">
        <v>20</v>
      </c>
      <c r="H9" s="22">
        <v>30</v>
      </c>
      <c r="I9" s="22">
        <v>23</v>
      </c>
      <c r="J9" s="22">
        <v>31</v>
      </c>
      <c r="K9" s="22">
        <v>18</v>
      </c>
      <c r="L9" s="22">
        <v>28</v>
      </c>
      <c r="M9" s="24">
        <v>263</v>
      </c>
      <c r="N9" s="15">
        <v>908.24</v>
      </c>
      <c r="O9" s="15">
        <v>386.53999999999996</v>
      </c>
      <c r="P9" s="15">
        <v>709.59</v>
      </c>
      <c r="Q9" s="15">
        <v>1737.24</v>
      </c>
      <c r="R9" s="15">
        <v>863.02999999999986</v>
      </c>
      <c r="S9" s="15">
        <v>941.54999999999984</v>
      </c>
      <c r="T9" s="15">
        <v>1356.7799999999997</v>
      </c>
      <c r="U9" s="15">
        <v>890.42000000000019</v>
      </c>
      <c r="V9" s="15">
        <v>1255.8799999999997</v>
      </c>
      <c r="W9" s="15">
        <v>745.07999999999993</v>
      </c>
      <c r="X9" s="15">
        <v>954.4</v>
      </c>
      <c r="Y9" s="26">
        <v>10748.749999999998</v>
      </c>
    </row>
    <row r="10" spans="1:25">
      <c r="A10" s="14" t="s">
        <v>34</v>
      </c>
      <c r="B10" s="22">
        <v>41</v>
      </c>
      <c r="C10" s="22">
        <v>21</v>
      </c>
      <c r="D10" s="22">
        <v>18</v>
      </c>
      <c r="E10" s="22">
        <v>63</v>
      </c>
      <c r="F10" s="22">
        <v>28</v>
      </c>
      <c r="G10" s="22">
        <v>27</v>
      </c>
      <c r="H10" s="22">
        <v>41</v>
      </c>
      <c r="I10" s="22">
        <v>35</v>
      </c>
      <c r="J10" s="22">
        <v>47</v>
      </c>
      <c r="K10" s="22">
        <v>14</v>
      </c>
      <c r="L10" s="22">
        <v>20</v>
      </c>
      <c r="M10" s="24">
        <v>355</v>
      </c>
      <c r="N10" s="15">
        <v>1092.3399999999997</v>
      </c>
      <c r="O10" s="15">
        <v>919.87</v>
      </c>
      <c r="P10" s="15">
        <v>838.28</v>
      </c>
      <c r="Q10" s="15">
        <v>1771.829999999999</v>
      </c>
      <c r="R10" s="15">
        <v>1220.1000000000001</v>
      </c>
      <c r="S10" s="15">
        <v>1169.7499999999998</v>
      </c>
      <c r="T10" s="15">
        <v>1660.96</v>
      </c>
      <c r="U10" s="15">
        <v>1516.5599999999995</v>
      </c>
      <c r="V10" s="15">
        <v>2140.9500000000003</v>
      </c>
      <c r="W10" s="15">
        <v>431.88</v>
      </c>
      <c r="X10" s="15">
        <v>784.73999999999978</v>
      </c>
      <c r="Y10" s="26">
        <v>13547.259999999997</v>
      </c>
    </row>
    <row r="11" spans="1:25">
      <c r="A11" s="14" t="s">
        <v>35</v>
      </c>
      <c r="B11" s="22">
        <v>80</v>
      </c>
      <c r="C11" s="22">
        <v>21</v>
      </c>
      <c r="D11" s="22">
        <v>38</v>
      </c>
      <c r="E11" s="22">
        <v>70</v>
      </c>
      <c r="F11" s="22">
        <v>27</v>
      </c>
      <c r="G11" s="22">
        <v>49</v>
      </c>
      <c r="H11" s="22">
        <v>45</v>
      </c>
      <c r="I11" s="22">
        <v>37</v>
      </c>
      <c r="J11" s="22">
        <v>54</v>
      </c>
      <c r="K11" s="22">
        <v>40</v>
      </c>
      <c r="L11" s="22">
        <v>32</v>
      </c>
      <c r="M11" s="24">
        <v>493</v>
      </c>
      <c r="N11" s="15">
        <v>2557.6399999999994</v>
      </c>
      <c r="O11" s="15">
        <v>915.0899999999998</v>
      </c>
      <c r="P11" s="15">
        <v>1316.27</v>
      </c>
      <c r="Q11" s="15">
        <v>2656.7799999999993</v>
      </c>
      <c r="R11" s="15">
        <v>1291.74</v>
      </c>
      <c r="S11" s="15">
        <v>2374.6499999999996</v>
      </c>
      <c r="T11" s="15">
        <v>2092.8200000000002</v>
      </c>
      <c r="U11" s="15">
        <v>1485.86</v>
      </c>
      <c r="V11" s="15">
        <v>2400.5399999999995</v>
      </c>
      <c r="W11" s="15">
        <v>1342.3999999999999</v>
      </c>
      <c r="X11" s="15">
        <v>1215.1099999999997</v>
      </c>
      <c r="Y11" s="26">
        <v>19648.899999999998</v>
      </c>
    </row>
    <row r="12" spans="1:25">
      <c r="A12" s="14" t="s">
        <v>36</v>
      </c>
      <c r="B12" s="22">
        <v>35</v>
      </c>
      <c r="C12" s="22">
        <v>0</v>
      </c>
      <c r="D12" s="22">
        <v>26</v>
      </c>
      <c r="E12" s="22">
        <v>6</v>
      </c>
      <c r="F12" s="22">
        <v>0</v>
      </c>
      <c r="G12" s="22">
        <v>8</v>
      </c>
      <c r="H12" s="22">
        <v>7</v>
      </c>
      <c r="I12" s="22">
        <v>53</v>
      </c>
      <c r="J12" s="22">
        <v>42</v>
      </c>
      <c r="K12" s="22">
        <v>33</v>
      </c>
      <c r="L12" s="22">
        <v>31</v>
      </c>
      <c r="M12" s="24">
        <v>241</v>
      </c>
      <c r="N12" s="15">
        <v>1325.0999999999997</v>
      </c>
      <c r="O12" s="15">
        <v>0</v>
      </c>
      <c r="P12" s="15">
        <v>855.88999999999987</v>
      </c>
      <c r="Q12" s="15">
        <v>196.08999999999997</v>
      </c>
      <c r="R12" s="15">
        <v>0</v>
      </c>
      <c r="S12" s="15">
        <v>403.20999999999992</v>
      </c>
      <c r="T12" s="15">
        <v>261.27999999999997</v>
      </c>
      <c r="U12" s="15">
        <v>2374.3499999999995</v>
      </c>
      <c r="V12" s="15">
        <v>1949.0099999999998</v>
      </c>
      <c r="W12" s="15">
        <v>1392.1000000000001</v>
      </c>
      <c r="X12" s="15">
        <v>1235.52</v>
      </c>
      <c r="Y12" s="26">
        <v>9992.5500000000011</v>
      </c>
    </row>
    <row r="13" spans="1:25">
      <c r="A13" s="14" t="s">
        <v>37</v>
      </c>
      <c r="B13" s="22">
        <v>33</v>
      </c>
      <c r="C13" s="22">
        <v>10</v>
      </c>
      <c r="D13" s="22">
        <v>22</v>
      </c>
      <c r="E13" s="22">
        <v>65</v>
      </c>
      <c r="F13" s="22">
        <v>6</v>
      </c>
      <c r="G13" s="22">
        <v>19</v>
      </c>
      <c r="H13" s="22">
        <v>28</v>
      </c>
      <c r="I13" s="22">
        <v>24</v>
      </c>
      <c r="J13" s="22">
        <v>28</v>
      </c>
      <c r="K13" s="22">
        <v>23</v>
      </c>
      <c r="L13" s="22">
        <v>28</v>
      </c>
      <c r="M13" s="24">
        <v>286</v>
      </c>
      <c r="N13" s="15">
        <v>1009.4899999999997</v>
      </c>
      <c r="O13" s="15">
        <v>410.26000000000005</v>
      </c>
      <c r="P13" s="15">
        <v>716.77</v>
      </c>
      <c r="Q13" s="15">
        <v>2112.2899999999986</v>
      </c>
      <c r="R13" s="15">
        <v>229.98000000000002</v>
      </c>
      <c r="S13" s="15">
        <v>800.07000000000016</v>
      </c>
      <c r="T13" s="15">
        <v>1082.3899999999999</v>
      </c>
      <c r="U13" s="15">
        <v>1030.19</v>
      </c>
      <c r="V13" s="15">
        <v>1266.2699999999998</v>
      </c>
      <c r="W13" s="15">
        <v>603.13</v>
      </c>
      <c r="X13" s="15">
        <v>704.40999999999985</v>
      </c>
      <c r="Y13" s="26">
        <v>9965.2499999999982</v>
      </c>
    </row>
    <row r="14" spans="1:25">
      <c r="A14" s="14" t="s">
        <v>38</v>
      </c>
      <c r="B14" s="22">
        <v>24</v>
      </c>
      <c r="C14" s="22">
        <v>21</v>
      </c>
      <c r="D14" s="22">
        <v>18</v>
      </c>
      <c r="E14" s="22">
        <v>57</v>
      </c>
      <c r="F14" s="22">
        <v>7</v>
      </c>
      <c r="G14" s="22">
        <v>17</v>
      </c>
      <c r="H14" s="22">
        <v>35</v>
      </c>
      <c r="I14" s="22">
        <v>46</v>
      </c>
      <c r="J14" s="22">
        <v>31</v>
      </c>
      <c r="K14" s="22">
        <v>16</v>
      </c>
      <c r="L14" s="22">
        <v>22</v>
      </c>
      <c r="M14" s="24">
        <v>294</v>
      </c>
      <c r="N14" s="15">
        <v>609.8900000000001</v>
      </c>
      <c r="O14" s="15">
        <v>842.86999999999989</v>
      </c>
      <c r="P14" s="15">
        <v>532.36</v>
      </c>
      <c r="Q14" s="15">
        <v>1934.2199999999998</v>
      </c>
      <c r="R14" s="15">
        <v>143.52000000000001</v>
      </c>
      <c r="S14" s="15">
        <v>690.93</v>
      </c>
      <c r="T14" s="15">
        <v>1560.6600000000003</v>
      </c>
      <c r="U14" s="15">
        <v>1596.1099999999994</v>
      </c>
      <c r="V14" s="15">
        <v>1211.79</v>
      </c>
      <c r="W14" s="15">
        <v>552.06999999999994</v>
      </c>
      <c r="X14" s="15">
        <v>685.41000000000008</v>
      </c>
      <c r="Y14" s="26">
        <v>10359.83</v>
      </c>
    </row>
    <row r="15" spans="1:25">
      <c r="A15" s="14" t="s">
        <v>39</v>
      </c>
      <c r="B15" s="22">
        <v>33</v>
      </c>
      <c r="C15" s="22">
        <v>4</v>
      </c>
      <c r="D15" s="22">
        <v>14</v>
      </c>
      <c r="E15" s="22">
        <v>44</v>
      </c>
      <c r="F15" s="22">
        <v>29</v>
      </c>
      <c r="G15" s="22">
        <v>19</v>
      </c>
      <c r="H15" s="22">
        <v>23</v>
      </c>
      <c r="I15" s="22">
        <v>37</v>
      </c>
      <c r="J15" s="22">
        <v>31</v>
      </c>
      <c r="K15" s="22">
        <v>15</v>
      </c>
      <c r="L15" s="22">
        <v>25</v>
      </c>
      <c r="M15" s="24">
        <v>274</v>
      </c>
      <c r="N15" s="15">
        <v>940.76999999999987</v>
      </c>
      <c r="O15" s="15">
        <v>61.46</v>
      </c>
      <c r="P15" s="15">
        <v>550.13000000000011</v>
      </c>
      <c r="Q15" s="15">
        <v>1519.17</v>
      </c>
      <c r="R15" s="15">
        <v>1267.5299999999997</v>
      </c>
      <c r="S15" s="15">
        <v>928.06</v>
      </c>
      <c r="T15" s="15">
        <v>965.01999999999987</v>
      </c>
      <c r="U15" s="15">
        <v>1321.4399999999998</v>
      </c>
      <c r="V15" s="15">
        <v>1233.8199999999997</v>
      </c>
      <c r="W15" s="15">
        <v>519.06999999999994</v>
      </c>
      <c r="X15" s="15">
        <v>858.88</v>
      </c>
      <c r="Y15" s="26">
        <v>10165.35</v>
      </c>
    </row>
    <row r="16" spans="1:25">
      <c r="A16" s="14" t="s">
        <v>40</v>
      </c>
      <c r="B16" s="22">
        <v>24</v>
      </c>
      <c r="C16" s="22">
        <v>5</v>
      </c>
      <c r="D16" s="22">
        <v>24</v>
      </c>
      <c r="E16" s="22">
        <v>75</v>
      </c>
      <c r="F16" s="22">
        <v>14</v>
      </c>
      <c r="G16" s="22">
        <v>28</v>
      </c>
      <c r="H16" s="22">
        <v>24</v>
      </c>
      <c r="I16" s="22">
        <v>27</v>
      </c>
      <c r="J16" s="22">
        <v>30</v>
      </c>
      <c r="K16" s="22">
        <v>19</v>
      </c>
      <c r="L16" s="22">
        <v>36</v>
      </c>
      <c r="M16" s="24">
        <v>306</v>
      </c>
      <c r="N16" s="15">
        <v>639.4799999999999</v>
      </c>
      <c r="O16" s="15">
        <v>196.47</v>
      </c>
      <c r="P16" s="15">
        <v>785.24999999999989</v>
      </c>
      <c r="Q16" s="15">
        <v>2548.7299999999991</v>
      </c>
      <c r="R16" s="15">
        <v>725.04</v>
      </c>
      <c r="S16" s="15">
        <v>1342.68</v>
      </c>
      <c r="T16" s="15">
        <v>795.44</v>
      </c>
      <c r="U16" s="15">
        <v>1173.1600000000001</v>
      </c>
      <c r="V16" s="15">
        <v>1533.0500000000002</v>
      </c>
      <c r="W16" s="15">
        <v>745.85000000000014</v>
      </c>
      <c r="X16" s="15">
        <v>1288.4799999999998</v>
      </c>
      <c r="Y16" s="26">
        <v>11773.63</v>
      </c>
    </row>
    <row r="17" spans="1:25">
      <c r="A17" s="14" t="s">
        <v>41</v>
      </c>
      <c r="B17" s="22">
        <v>30</v>
      </c>
      <c r="C17" s="22">
        <v>11</v>
      </c>
      <c r="D17" s="22">
        <v>26</v>
      </c>
      <c r="E17" s="22">
        <v>49</v>
      </c>
      <c r="F17" s="22">
        <v>17</v>
      </c>
      <c r="G17" s="22">
        <v>22</v>
      </c>
      <c r="H17" s="22">
        <v>25</v>
      </c>
      <c r="I17" s="22">
        <v>42</v>
      </c>
      <c r="J17" s="22">
        <v>50</v>
      </c>
      <c r="K17" s="22">
        <v>18</v>
      </c>
      <c r="L17" s="22">
        <v>24</v>
      </c>
      <c r="M17" s="24">
        <v>314</v>
      </c>
      <c r="N17" s="15">
        <v>755.09</v>
      </c>
      <c r="O17" s="15">
        <v>352.56</v>
      </c>
      <c r="P17" s="15">
        <v>907.1400000000001</v>
      </c>
      <c r="Q17" s="15">
        <v>1870.4299999999996</v>
      </c>
      <c r="R17" s="15">
        <v>584.86</v>
      </c>
      <c r="S17" s="15">
        <v>829.25999999999988</v>
      </c>
      <c r="T17" s="15">
        <v>874.18999999999994</v>
      </c>
      <c r="U17" s="15">
        <v>1600.6499999999999</v>
      </c>
      <c r="V17" s="15">
        <v>1938.1599999999999</v>
      </c>
      <c r="W17" s="15">
        <v>764.58999999999992</v>
      </c>
      <c r="X17" s="15">
        <v>736.08999999999992</v>
      </c>
      <c r="Y17" s="26">
        <v>11213.019999999999</v>
      </c>
    </row>
    <row r="18" spans="1:25">
      <c r="A18" s="14" t="s">
        <v>42</v>
      </c>
      <c r="B18" s="22">
        <v>59</v>
      </c>
      <c r="C18" s="22">
        <v>16</v>
      </c>
      <c r="D18" s="22">
        <v>48</v>
      </c>
      <c r="E18" s="22">
        <v>111</v>
      </c>
      <c r="F18" s="22">
        <v>24</v>
      </c>
      <c r="G18" s="22">
        <v>46</v>
      </c>
      <c r="H18" s="22">
        <v>51</v>
      </c>
      <c r="I18" s="22">
        <v>73</v>
      </c>
      <c r="J18" s="22">
        <v>44</v>
      </c>
      <c r="K18" s="22">
        <v>31</v>
      </c>
      <c r="L18" s="22">
        <v>45</v>
      </c>
      <c r="M18" s="24">
        <v>548</v>
      </c>
      <c r="N18" s="15">
        <v>1887.8200000000002</v>
      </c>
      <c r="O18" s="15">
        <v>337.11000000000007</v>
      </c>
      <c r="P18" s="15">
        <v>1626.8299999999997</v>
      </c>
      <c r="Q18" s="15">
        <v>4124.4800000000014</v>
      </c>
      <c r="R18" s="15">
        <v>1003.8999999999999</v>
      </c>
      <c r="S18" s="15">
        <v>1953.95</v>
      </c>
      <c r="T18" s="15">
        <v>2007.5400000000004</v>
      </c>
      <c r="U18" s="15">
        <v>3070.9599999999982</v>
      </c>
      <c r="V18" s="15">
        <v>1849.6899999999998</v>
      </c>
      <c r="W18" s="15">
        <v>1073.6499999999999</v>
      </c>
      <c r="X18" s="15">
        <v>1714.0000000000002</v>
      </c>
      <c r="Y18" s="26">
        <v>20649.929999999997</v>
      </c>
    </row>
    <row r="19" spans="1:25">
      <c r="A19" s="14" t="s">
        <v>43</v>
      </c>
      <c r="B19" s="22">
        <v>32</v>
      </c>
      <c r="C19" s="22">
        <v>0</v>
      </c>
      <c r="D19" s="22">
        <v>0</v>
      </c>
      <c r="E19" s="22">
        <v>12</v>
      </c>
      <c r="F19" s="22">
        <v>0</v>
      </c>
      <c r="G19" s="22">
        <v>22</v>
      </c>
      <c r="H19" s="22">
        <v>14</v>
      </c>
      <c r="I19" s="22">
        <v>103</v>
      </c>
      <c r="J19" s="22">
        <v>52</v>
      </c>
      <c r="K19" s="22">
        <v>51</v>
      </c>
      <c r="L19" s="22">
        <v>34</v>
      </c>
      <c r="M19" s="24">
        <v>320</v>
      </c>
      <c r="N19" s="15">
        <v>1037.98</v>
      </c>
      <c r="O19" s="15">
        <v>0</v>
      </c>
      <c r="P19" s="15">
        <v>0</v>
      </c>
      <c r="Q19" s="15">
        <v>624.41</v>
      </c>
      <c r="R19" s="15">
        <v>0</v>
      </c>
      <c r="S19" s="15">
        <v>1060.3899999999999</v>
      </c>
      <c r="T19" s="15">
        <v>530.17000000000007</v>
      </c>
      <c r="U19" s="15">
        <v>4148.079999999999</v>
      </c>
      <c r="V19" s="15">
        <v>2224.3999999999992</v>
      </c>
      <c r="W19" s="15">
        <v>1923.65</v>
      </c>
      <c r="X19" s="15">
        <v>1172.5199999999998</v>
      </c>
      <c r="Y19" s="26">
        <v>12721.599999999997</v>
      </c>
    </row>
    <row r="20" spans="1:25">
      <c r="A20" s="14" t="s">
        <v>44</v>
      </c>
      <c r="B20" s="22">
        <v>23</v>
      </c>
      <c r="C20" s="22">
        <v>21</v>
      </c>
      <c r="D20" s="22">
        <v>0</v>
      </c>
      <c r="E20" s="22">
        <v>77</v>
      </c>
      <c r="F20" s="22">
        <v>13</v>
      </c>
      <c r="G20" s="22">
        <v>30</v>
      </c>
      <c r="H20" s="22">
        <v>28</v>
      </c>
      <c r="I20" s="22">
        <v>35</v>
      </c>
      <c r="J20" s="22">
        <v>46</v>
      </c>
      <c r="K20" s="22">
        <v>25</v>
      </c>
      <c r="L20" s="22">
        <v>34</v>
      </c>
      <c r="M20" s="24">
        <v>332</v>
      </c>
      <c r="N20" s="15">
        <v>679.42</v>
      </c>
      <c r="O20" s="15">
        <v>644</v>
      </c>
      <c r="P20" s="15">
        <v>0</v>
      </c>
      <c r="Q20" s="15">
        <v>2840.08</v>
      </c>
      <c r="R20" s="15">
        <v>684.69999999999993</v>
      </c>
      <c r="S20" s="15">
        <v>1223.7600000000004</v>
      </c>
      <c r="T20" s="15">
        <v>1312.04</v>
      </c>
      <c r="U20" s="15">
        <v>1216.5199999999998</v>
      </c>
      <c r="V20" s="15">
        <v>2508.8199999999997</v>
      </c>
      <c r="W20" s="15">
        <v>923.30000000000007</v>
      </c>
      <c r="X20" s="15">
        <v>1127.6299999999997</v>
      </c>
      <c r="Y20" s="26">
        <v>13160.269999999999</v>
      </c>
    </row>
    <row r="21" spans="1:25">
      <c r="A21" s="14" t="s">
        <v>45</v>
      </c>
      <c r="B21" s="22">
        <v>16</v>
      </c>
      <c r="C21" s="22">
        <v>11</v>
      </c>
      <c r="D21" s="22">
        <v>0</v>
      </c>
      <c r="E21" s="22">
        <v>56</v>
      </c>
      <c r="F21" s="22">
        <v>8</v>
      </c>
      <c r="G21" s="22">
        <v>16</v>
      </c>
      <c r="H21" s="22">
        <v>31</v>
      </c>
      <c r="I21" s="22">
        <v>43</v>
      </c>
      <c r="J21" s="22">
        <v>34</v>
      </c>
      <c r="K21" s="22">
        <v>37</v>
      </c>
      <c r="L21" s="22">
        <v>28</v>
      </c>
      <c r="M21" s="24">
        <v>280</v>
      </c>
      <c r="N21" s="15">
        <v>510.52000000000004</v>
      </c>
      <c r="O21" s="15">
        <v>429.28999999999996</v>
      </c>
      <c r="P21" s="15">
        <v>0</v>
      </c>
      <c r="Q21" s="15">
        <v>1910.4999999999993</v>
      </c>
      <c r="R21" s="15">
        <v>441.74</v>
      </c>
      <c r="S21" s="15">
        <v>584.25</v>
      </c>
      <c r="T21" s="15">
        <v>1594.8399999999995</v>
      </c>
      <c r="U21" s="15">
        <v>1555.6800000000005</v>
      </c>
      <c r="V21" s="15">
        <v>1409.81</v>
      </c>
      <c r="W21" s="15">
        <v>1436.7</v>
      </c>
      <c r="X21" s="15">
        <v>1053.5700000000002</v>
      </c>
      <c r="Y21" s="26">
        <v>10926.9</v>
      </c>
    </row>
    <row r="22" spans="1:25">
      <c r="A22" s="14" t="s">
        <v>46</v>
      </c>
      <c r="B22" s="22">
        <v>37</v>
      </c>
      <c r="C22" s="22">
        <v>16</v>
      </c>
      <c r="D22" s="22">
        <v>7</v>
      </c>
      <c r="E22" s="22">
        <v>65</v>
      </c>
      <c r="F22" s="22">
        <v>21</v>
      </c>
      <c r="G22" s="22">
        <v>20</v>
      </c>
      <c r="H22" s="22">
        <v>26</v>
      </c>
      <c r="I22" s="22">
        <v>56</v>
      </c>
      <c r="J22" s="22">
        <v>24</v>
      </c>
      <c r="K22" s="22">
        <v>18</v>
      </c>
      <c r="L22" s="22">
        <v>22</v>
      </c>
      <c r="M22" s="24">
        <v>312</v>
      </c>
      <c r="N22" s="15">
        <v>1322.2899999999995</v>
      </c>
      <c r="O22" s="15">
        <v>490.11999999999989</v>
      </c>
      <c r="P22" s="15">
        <v>249.41</v>
      </c>
      <c r="Q22" s="15">
        <v>2246.1999999999994</v>
      </c>
      <c r="R22" s="15">
        <v>660.57</v>
      </c>
      <c r="S22" s="15">
        <v>843.23</v>
      </c>
      <c r="T22" s="15">
        <v>1196.9599999999998</v>
      </c>
      <c r="U22" s="15">
        <v>1906.2799999999993</v>
      </c>
      <c r="V22" s="15">
        <v>979.32000000000016</v>
      </c>
      <c r="W22" s="15">
        <v>878.16000000000008</v>
      </c>
      <c r="X22" s="15">
        <v>812.52</v>
      </c>
      <c r="Y22" s="26">
        <v>11585.059999999996</v>
      </c>
    </row>
    <row r="23" spans="1:25">
      <c r="A23" s="14" t="s">
        <v>47</v>
      </c>
      <c r="B23" s="22">
        <v>36</v>
      </c>
      <c r="C23" s="22">
        <v>12</v>
      </c>
      <c r="D23" s="22">
        <v>26</v>
      </c>
      <c r="E23" s="22">
        <v>67</v>
      </c>
      <c r="F23" s="22">
        <v>7</v>
      </c>
      <c r="G23" s="22">
        <v>28</v>
      </c>
      <c r="H23" s="22">
        <v>38</v>
      </c>
      <c r="I23" s="22">
        <v>32</v>
      </c>
      <c r="J23" s="22">
        <v>31</v>
      </c>
      <c r="K23" s="22">
        <v>25</v>
      </c>
      <c r="L23" s="22">
        <v>32</v>
      </c>
      <c r="M23" s="24">
        <v>334</v>
      </c>
      <c r="N23" s="15">
        <v>1057.1199999999999</v>
      </c>
      <c r="O23" s="15">
        <v>398.34000000000003</v>
      </c>
      <c r="P23" s="15">
        <v>1184.25</v>
      </c>
      <c r="Q23" s="15">
        <v>2395.2099999999991</v>
      </c>
      <c r="R23" s="15">
        <v>336.69</v>
      </c>
      <c r="S23" s="15">
        <v>1045.1100000000001</v>
      </c>
      <c r="T23" s="15">
        <v>1664.19</v>
      </c>
      <c r="U23" s="15">
        <v>1354.07</v>
      </c>
      <c r="V23" s="15">
        <v>1453.3400000000001</v>
      </c>
      <c r="W23" s="15">
        <v>1047.05</v>
      </c>
      <c r="X23" s="15">
        <v>1296.4599999999998</v>
      </c>
      <c r="Y23" s="26">
        <v>13231.83</v>
      </c>
    </row>
    <row r="24" spans="1:25">
      <c r="A24" s="14" t="s">
        <v>48</v>
      </c>
      <c r="B24" s="22">
        <v>31</v>
      </c>
      <c r="C24" s="22">
        <v>13</v>
      </c>
      <c r="D24" s="22">
        <v>24</v>
      </c>
      <c r="E24" s="22">
        <v>44</v>
      </c>
      <c r="F24" s="22">
        <v>14</v>
      </c>
      <c r="G24" s="22">
        <v>20</v>
      </c>
      <c r="H24" s="22">
        <v>25</v>
      </c>
      <c r="I24" s="22">
        <v>31</v>
      </c>
      <c r="J24" s="22">
        <v>25</v>
      </c>
      <c r="K24" s="22">
        <v>27</v>
      </c>
      <c r="L24" s="22">
        <v>25</v>
      </c>
      <c r="M24" s="24">
        <v>279</v>
      </c>
      <c r="N24" s="15">
        <v>919.43000000000006</v>
      </c>
      <c r="O24" s="15">
        <v>388.72</v>
      </c>
      <c r="P24" s="15">
        <v>786.94999999999982</v>
      </c>
      <c r="Q24" s="15">
        <v>1820.8799999999997</v>
      </c>
      <c r="R24" s="15">
        <v>524.76</v>
      </c>
      <c r="S24" s="15">
        <v>894.91999999999985</v>
      </c>
      <c r="T24" s="15">
        <v>1286.8599999999999</v>
      </c>
      <c r="U24" s="15">
        <v>1255.0199999999998</v>
      </c>
      <c r="V24" s="15">
        <v>1084.3100000000002</v>
      </c>
      <c r="W24" s="15">
        <v>1058.71</v>
      </c>
      <c r="X24" s="15">
        <v>754.69</v>
      </c>
      <c r="Y24" s="26">
        <v>10775.250000000002</v>
      </c>
    </row>
    <row r="25" spans="1:25">
      <c r="A25" s="14" t="s">
        <v>49</v>
      </c>
      <c r="B25" s="22">
        <v>77</v>
      </c>
      <c r="C25" s="22">
        <v>27</v>
      </c>
      <c r="D25" s="22">
        <v>46</v>
      </c>
      <c r="E25" s="22">
        <v>46</v>
      </c>
      <c r="F25" s="22">
        <v>28</v>
      </c>
      <c r="G25" s="22">
        <v>27</v>
      </c>
      <c r="H25" s="22">
        <v>64</v>
      </c>
      <c r="I25" s="22">
        <v>51</v>
      </c>
      <c r="J25" s="22">
        <v>61</v>
      </c>
      <c r="K25" s="22">
        <v>29</v>
      </c>
      <c r="L25" s="22">
        <v>38</v>
      </c>
      <c r="M25" s="24">
        <v>494</v>
      </c>
      <c r="N25" s="15">
        <v>2971.46</v>
      </c>
      <c r="O25" s="15">
        <v>1122.2900000000002</v>
      </c>
      <c r="P25" s="15">
        <v>1474.06</v>
      </c>
      <c r="Q25" s="15">
        <v>1724.0800000000004</v>
      </c>
      <c r="R25" s="15">
        <v>1297.6400000000001</v>
      </c>
      <c r="S25" s="15">
        <v>1217.71</v>
      </c>
      <c r="T25" s="15">
        <v>2775.5799999999995</v>
      </c>
      <c r="U25" s="15">
        <v>1969.4299999999994</v>
      </c>
      <c r="V25" s="15">
        <v>2730.56</v>
      </c>
      <c r="W25" s="15">
        <v>972.99000000000024</v>
      </c>
      <c r="X25" s="15">
        <v>1462.8999999999999</v>
      </c>
      <c r="Y25" s="26">
        <v>19718.7</v>
      </c>
    </row>
    <row r="26" spans="1:25">
      <c r="A26" s="14" t="s">
        <v>50</v>
      </c>
      <c r="B26" s="22">
        <v>44</v>
      </c>
      <c r="C26" s="22">
        <v>0</v>
      </c>
      <c r="D26" s="22">
        <v>27</v>
      </c>
      <c r="E26" s="22">
        <v>10</v>
      </c>
      <c r="F26" s="22">
        <v>0</v>
      </c>
      <c r="G26" s="22">
        <v>20</v>
      </c>
      <c r="H26" s="22">
        <v>21</v>
      </c>
      <c r="I26" s="22">
        <v>54</v>
      </c>
      <c r="J26" s="22">
        <v>55</v>
      </c>
      <c r="K26" s="22">
        <v>49</v>
      </c>
      <c r="L26" s="22">
        <v>17</v>
      </c>
      <c r="M26" s="24">
        <v>297</v>
      </c>
      <c r="N26" s="15">
        <v>1557.3499999999995</v>
      </c>
      <c r="O26" s="15">
        <v>0</v>
      </c>
      <c r="P26" s="15">
        <v>764.66</v>
      </c>
      <c r="Q26" s="15">
        <v>485.59000000000003</v>
      </c>
      <c r="R26" s="15">
        <v>0</v>
      </c>
      <c r="S26" s="15">
        <v>1006.3100000000001</v>
      </c>
      <c r="T26" s="15">
        <v>937.21000000000015</v>
      </c>
      <c r="U26" s="15">
        <v>2220.0199999999995</v>
      </c>
      <c r="V26" s="15">
        <v>2826.7000000000003</v>
      </c>
      <c r="W26" s="15">
        <v>2282.2699999999986</v>
      </c>
      <c r="X26" s="15">
        <v>618.0300000000002</v>
      </c>
      <c r="Y26" s="26">
        <v>12698.139999999998</v>
      </c>
    </row>
    <row r="27" spans="1:25">
      <c r="A27" s="14" t="s">
        <v>51</v>
      </c>
      <c r="B27" s="22">
        <v>43</v>
      </c>
      <c r="C27" s="22">
        <v>9</v>
      </c>
      <c r="D27" s="22">
        <v>27</v>
      </c>
      <c r="E27" s="22">
        <v>77</v>
      </c>
      <c r="F27" s="22">
        <v>16</v>
      </c>
      <c r="G27" s="22">
        <v>22</v>
      </c>
      <c r="H27" s="22">
        <v>35</v>
      </c>
      <c r="I27" s="22">
        <v>38</v>
      </c>
      <c r="J27" s="22">
        <v>25</v>
      </c>
      <c r="K27" s="22">
        <v>16</v>
      </c>
      <c r="L27" s="22">
        <v>21</v>
      </c>
      <c r="M27" s="24">
        <v>329</v>
      </c>
      <c r="N27" s="15">
        <v>1342.9699999999996</v>
      </c>
      <c r="O27" s="15">
        <v>318.70000000000005</v>
      </c>
      <c r="P27" s="15">
        <v>1029.05</v>
      </c>
      <c r="Q27" s="15">
        <v>2648.53</v>
      </c>
      <c r="R27" s="15">
        <v>508.58</v>
      </c>
      <c r="S27" s="15">
        <v>787.05</v>
      </c>
      <c r="T27" s="15">
        <v>1812.3300000000002</v>
      </c>
      <c r="U27" s="15">
        <v>1480.7</v>
      </c>
      <c r="V27" s="15">
        <v>1167.3799999999999</v>
      </c>
      <c r="W27" s="15">
        <v>564.74</v>
      </c>
      <c r="X27" s="15">
        <v>621.95999999999981</v>
      </c>
      <c r="Y27" s="26">
        <v>12281.990000000002</v>
      </c>
    </row>
    <row r="28" spans="1:25">
      <c r="A28" s="14" t="s">
        <v>52</v>
      </c>
      <c r="B28" s="22">
        <v>69</v>
      </c>
      <c r="C28" s="22">
        <v>11</v>
      </c>
      <c r="D28" s="22">
        <v>37</v>
      </c>
      <c r="E28" s="22">
        <v>66</v>
      </c>
      <c r="F28" s="22">
        <v>27</v>
      </c>
      <c r="G28" s="22">
        <v>32</v>
      </c>
      <c r="H28" s="22">
        <v>31</v>
      </c>
      <c r="I28" s="22">
        <v>23</v>
      </c>
      <c r="J28" s="22">
        <v>27</v>
      </c>
      <c r="K28" s="22">
        <v>25</v>
      </c>
      <c r="L28" s="22">
        <v>22</v>
      </c>
      <c r="M28" s="24">
        <v>370</v>
      </c>
      <c r="N28" s="15">
        <v>2452.3000000000002</v>
      </c>
      <c r="O28" s="15">
        <v>445.46999999999997</v>
      </c>
      <c r="P28" s="15">
        <v>1162.1199999999997</v>
      </c>
      <c r="Q28" s="15">
        <v>2275.7899999999995</v>
      </c>
      <c r="R28" s="15">
        <v>1051.97</v>
      </c>
      <c r="S28" s="15">
        <v>1148.6099999999999</v>
      </c>
      <c r="T28" s="15">
        <v>1519.4</v>
      </c>
      <c r="U28" s="15">
        <v>992.11</v>
      </c>
      <c r="V28" s="15">
        <v>1210.45</v>
      </c>
      <c r="W28" s="15">
        <v>738.55999999999983</v>
      </c>
      <c r="X28" s="15">
        <v>640.54000000000008</v>
      </c>
      <c r="Y28" s="26">
        <v>13637.32</v>
      </c>
    </row>
    <row r="29" spans="1:25">
      <c r="A29" s="14" t="s">
        <v>53</v>
      </c>
      <c r="B29" s="22">
        <v>48</v>
      </c>
      <c r="C29" s="22">
        <v>15</v>
      </c>
      <c r="D29" s="22">
        <v>26</v>
      </c>
      <c r="E29" s="22">
        <v>61</v>
      </c>
      <c r="F29" s="22">
        <v>13</v>
      </c>
      <c r="G29" s="22">
        <v>35</v>
      </c>
      <c r="H29" s="22">
        <v>31</v>
      </c>
      <c r="I29" s="22">
        <v>48</v>
      </c>
      <c r="J29" s="22">
        <v>30</v>
      </c>
      <c r="K29" s="22">
        <v>23</v>
      </c>
      <c r="L29" s="22">
        <v>34</v>
      </c>
      <c r="M29" s="24">
        <v>364</v>
      </c>
      <c r="N29" s="15">
        <v>1217.1399999999994</v>
      </c>
      <c r="O29" s="15">
        <v>493.73999999999995</v>
      </c>
      <c r="P29" s="15">
        <v>1035.07</v>
      </c>
      <c r="Q29" s="15">
        <v>2400.7499999999995</v>
      </c>
      <c r="R29" s="15">
        <v>555.63</v>
      </c>
      <c r="S29" s="15">
        <v>1207.3099999999997</v>
      </c>
      <c r="T29" s="15">
        <v>1267.72</v>
      </c>
      <c r="U29" s="15">
        <v>1827.2999999999993</v>
      </c>
      <c r="V29" s="15">
        <v>1214.4299999999998</v>
      </c>
      <c r="W29" s="15">
        <v>705.68999999999983</v>
      </c>
      <c r="X29" s="15">
        <v>1106.4099999999999</v>
      </c>
      <c r="Y29" s="26">
        <v>13031.189999999997</v>
      </c>
    </row>
    <row r="30" spans="1:25">
      <c r="A30" s="14" t="s">
        <v>54</v>
      </c>
      <c r="B30" s="22">
        <v>32</v>
      </c>
      <c r="C30" s="22">
        <v>29</v>
      </c>
      <c r="D30" s="22">
        <v>34</v>
      </c>
      <c r="E30" s="22">
        <v>55</v>
      </c>
      <c r="F30" s="22">
        <v>19</v>
      </c>
      <c r="G30" s="22">
        <v>29</v>
      </c>
      <c r="H30" s="22">
        <v>51</v>
      </c>
      <c r="I30" s="22">
        <v>38</v>
      </c>
      <c r="J30" s="22">
        <v>54</v>
      </c>
      <c r="K30" s="22">
        <v>30</v>
      </c>
      <c r="L30" s="22">
        <v>22</v>
      </c>
      <c r="M30" s="24">
        <v>393</v>
      </c>
      <c r="N30" s="15">
        <v>1116.78</v>
      </c>
      <c r="O30" s="15">
        <v>1071.2800000000002</v>
      </c>
      <c r="P30" s="15">
        <v>1144.6100000000004</v>
      </c>
      <c r="Q30" s="15">
        <v>1998.7199999999993</v>
      </c>
      <c r="R30" s="15">
        <v>703.4799999999999</v>
      </c>
      <c r="S30" s="15">
        <v>1251.6299999999999</v>
      </c>
      <c r="T30" s="15">
        <v>2526.2000000000003</v>
      </c>
      <c r="U30" s="15">
        <v>1705.2499999999998</v>
      </c>
      <c r="V30" s="15">
        <v>2221.71</v>
      </c>
      <c r="W30" s="15">
        <v>1264.4099999999996</v>
      </c>
      <c r="X30" s="15">
        <v>709.98</v>
      </c>
      <c r="Y30" s="26">
        <v>15714.05</v>
      </c>
    </row>
    <row r="31" spans="1:25">
      <c r="A31" s="14" t="s">
        <v>55</v>
      </c>
      <c r="B31" s="22">
        <v>31</v>
      </c>
      <c r="C31" s="22">
        <v>3</v>
      </c>
      <c r="D31" s="22">
        <v>50</v>
      </c>
      <c r="E31" s="22">
        <v>32</v>
      </c>
      <c r="F31" s="22">
        <v>0</v>
      </c>
      <c r="G31" s="22">
        <v>32</v>
      </c>
      <c r="H31" s="22">
        <v>49</v>
      </c>
      <c r="I31" s="22">
        <v>24</v>
      </c>
      <c r="J31" s="22">
        <v>50</v>
      </c>
      <c r="K31" s="22">
        <v>40</v>
      </c>
      <c r="L31" s="22">
        <v>26</v>
      </c>
      <c r="M31" s="24">
        <v>337</v>
      </c>
      <c r="N31" s="15">
        <v>1098.2299999999998</v>
      </c>
      <c r="O31" s="15">
        <v>63.31</v>
      </c>
      <c r="P31" s="15">
        <v>1912.6999999999994</v>
      </c>
      <c r="Q31" s="15">
        <v>1203.22</v>
      </c>
      <c r="R31" s="15">
        <v>0</v>
      </c>
      <c r="S31" s="15">
        <v>1339.6799999999998</v>
      </c>
      <c r="T31" s="15">
        <v>2677.23</v>
      </c>
      <c r="U31" s="15">
        <v>1034.4000000000003</v>
      </c>
      <c r="V31" s="15">
        <v>2278.91</v>
      </c>
      <c r="W31" s="15">
        <v>1524.58</v>
      </c>
      <c r="X31" s="15">
        <v>1111.3499999999997</v>
      </c>
      <c r="Y31" s="26">
        <v>14243.609999999999</v>
      </c>
    </row>
    <row r="32" spans="1:25">
      <c r="A32" s="14" t="s">
        <v>56</v>
      </c>
      <c r="B32" s="22">
        <v>57</v>
      </c>
      <c r="C32" s="22">
        <v>0</v>
      </c>
      <c r="D32" s="22">
        <v>10</v>
      </c>
      <c r="E32" s="22">
        <v>62</v>
      </c>
      <c r="F32" s="22">
        <v>7</v>
      </c>
      <c r="G32" s="22">
        <v>13</v>
      </c>
      <c r="H32" s="22">
        <v>12</v>
      </c>
      <c r="I32" s="22">
        <v>22</v>
      </c>
      <c r="J32" s="22">
        <v>26</v>
      </c>
      <c r="K32" s="22">
        <v>19</v>
      </c>
      <c r="L32" s="22">
        <v>20</v>
      </c>
      <c r="M32" s="24">
        <v>248</v>
      </c>
      <c r="N32" s="15">
        <v>1757.0399999999993</v>
      </c>
      <c r="O32" s="15">
        <v>0</v>
      </c>
      <c r="P32" s="15">
        <v>383.90000000000003</v>
      </c>
      <c r="Q32" s="15">
        <v>2647.36</v>
      </c>
      <c r="R32" s="15">
        <v>297.90000000000003</v>
      </c>
      <c r="S32" s="15">
        <v>584.11000000000013</v>
      </c>
      <c r="T32" s="15">
        <v>549.44000000000005</v>
      </c>
      <c r="U32" s="15">
        <v>908.3</v>
      </c>
      <c r="V32" s="15">
        <v>1172.3899999999999</v>
      </c>
      <c r="W32" s="15">
        <v>706.05</v>
      </c>
      <c r="X32" s="15">
        <v>747.44999999999993</v>
      </c>
      <c r="Y32" s="26">
        <v>9753.94</v>
      </c>
    </row>
    <row r="33" spans="1:25">
      <c r="A33" s="14" t="s">
        <v>57</v>
      </c>
      <c r="B33" s="22">
        <v>50</v>
      </c>
      <c r="C33" s="22">
        <v>0</v>
      </c>
      <c r="D33" s="22">
        <v>19</v>
      </c>
      <c r="E33" s="22">
        <v>3</v>
      </c>
      <c r="F33" s="22">
        <v>0</v>
      </c>
      <c r="G33" s="22">
        <v>9</v>
      </c>
      <c r="H33" s="22">
        <v>4</v>
      </c>
      <c r="I33" s="22">
        <v>51</v>
      </c>
      <c r="J33" s="22">
        <v>57</v>
      </c>
      <c r="K33" s="22">
        <v>30</v>
      </c>
      <c r="L33" s="22">
        <v>27</v>
      </c>
      <c r="M33" s="24">
        <v>250</v>
      </c>
      <c r="N33" s="15">
        <v>1606.8</v>
      </c>
      <c r="O33" s="15">
        <v>0</v>
      </c>
      <c r="P33" s="15">
        <v>685.68000000000006</v>
      </c>
      <c r="Q33" s="15">
        <v>173.48</v>
      </c>
      <c r="R33" s="15">
        <v>0</v>
      </c>
      <c r="S33" s="15">
        <v>462.80000000000007</v>
      </c>
      <c r="T33" s="15">
        <v>175.94</v>
      </c>
      <c r="U33" s="15">
        <v>2057.5399999999995</v>
      </c>
      <c r="V33" s="15">
        <v>2441.08</v>
      </c>
      <c r="W33" s="15">
        <v>1225.4499999999998</v>
      </c>
      <c r="X33" s="15">
        <v>1001.1099999999999</v>
      </c>
      <c r="Y33" s="26">
        <v>9829.8799999999992</v>
      </c>
    </row>
    <row r="34" spans="1:25">
      <c r="A34" s="14" t="s">
        <v>58</v>
      </c>
      <c r="B34" s="22">
        <v>33</v>
      </c>
      <c r="C34" s="22">
        <v>13</v>
      </c>
      <c r="D34" s="22">
        <v>27</v>
      </c>
      <c r="E34" s="22">
        <v>87</v>
      </c>
      <c r="F34" s="22">
        <v>14</v>
      </c>
      <c r="G34" s="22">
        <v>31</v>
      </c>
      <c r="H34" s="22">
        <v>40</v>
      </c>
      <c r="I34" s="22">
        <v>36</v>
      </c>
      <c r="J34" s="22">
        <v>34</v>
      </c>
      <c r="K34" s="22">
        <v>34</v>
      </c>
      <c r="L34" s="22">
        <v>32</v>
      </c>
      <c r="M34" s="24">
        <v>381</v>
      </c>
      <c r="N34" s="15">
        <v>1109.9099999999999</v>
      </c>
      <c r="O34" s="15">
        <v>520.72</v>
      </c>
      <c r="P34" s="15">
        <v>857.90000000000009</v>
      </c>
      <c r="Q34" s="15">
        <v>3280.8200000000011</v>
      </c>
      <c r="R34" s="15">
        <v>539.30999999999995</v>
      </c>
      <c r="S34" s="15">
        <v>1298.21</v>
      </c>
      <c r="T34" s="15">
        <v>1603.8899999999999</v>
      </c>
      <c r="U34" s="15">
        <v>1221.5099999999998</v>
      </c>
      <c r="V34" s="15">
        <v>1629.47</v>
      </c>
      <c r="W34" s="15">
        <v>1084.3799999999999</v>
      </c>
      <c r="X34" s="15">
        <v>1184.58</v>
      </c>
      <c r="Y34" s="26">
        <v>14330.7</v>
      </c>
    </row>
    <row r="35" spans="1:25">
      <c r="A35" s="28" t="s">
        <v>25</v>
      </c>
      <c r="B35" s="23">
        <f t="shared" ref="B35:Y35" si="0">SUM(B4:B34)</f>
        <v>1276</v>
      </c>
      <c r="C35" s="23">
        <f t="shared" si="0"/>
        <v>333</v>
      </c>
      <c r="D35" s="23">
        <f t="shared" si="0"/>
        <v>757</v>
      </c>
      <c r="E35" s="23">
        <f t="shared" si="0"/>
        <v>1610</v>
      </c>
      <c r="F35" s="23">
        <f t="shared" si="0"/>
        <v>400</v>
      </c>
      <c r="G35" s="23">
        <f t="shared" si="0"/>
        <v>765</v>
      </c>
      <c r="H35" s="23">
        <f t="shared" si="0"/>
        <v>965</v>
      </c>
      <c r="I35" s="23">
        <f t="shared" si="0"/>
        <v>1270</v>
      </c>
      <c r="J35" s="23">
        <f t="shared" si="0"/>
        <v>1320</v>
      </c>
      <c r="K35" s="23">
        <f t="shared" si="0"/>
        <v>857</v>
      </c>
      <c r="L35" s="23">
        <f t="shared" si="0"/>
        <v>877</v>
      </c>
      <c r="M35" s="25">
        <f t="shared" si="0"/>
        <v>10430</v>
      </c>
      <c r="N35" s="20">
        <f t="shared" si="0"/>
        <v>41107.300000000003</v>
      </c>
      <c r="O35" s="20">
        <f t="shared" si="0"/>
        <v>12294.05</v>
      </c>
      <c r="P35" s="20">
        <f t="shared" si="0"/>
        <v>26814.82</v>
      </c>
      <c r="Q35" s="20">
        <f t="shared" si="0"/>
        <v>58494.409999999989</v>
      </c>
      <c r="R35" s="20">
        <f t="shared" si="0"/>
        <v>16575.16</v>
      </c>
      <c r="S35" s="20">
        <f t="shared" si="0"/>
        <v>33119.39</v>
      </c>
      <c r="T35" s="20">
        <f t="shared" si="0"/>
        <v>42389.11</v>
      </c>
      <c r="U35" s="20">
        <f t="shared" si="0"/>
        <v>50126.44999999999</v>
      </c>
      <c r="V35" s="20">
        <f t="shared" si="0"/>
        <v>56087.239999999976</v>
      </c>
      <c r="W35" s="20">
        <f t="shared" si="0"/>
        <v>32186.91</v>
      </c>
      <c r="X35" s="20">
        <f t="shared" si="0"/>
        <v>31045.219999999994</v>
      </c>
      <c r="Y35" s="27">
        <f t="shared" si="0"/>
        <v>400240.06</v>
      </c>
    </row>
    <row r="36" spans="1:25">
      <c r="M36" s="21"/>
      <c r="Y36" s="21"/>
    </row>
  </sheetData>
  <mergeCells count="2">
    <mergeCell ref="B2:L2"/>
    <mergeCell ref="N2:X2"/>
  </mergeCells>
  <pageMargins left="0.7" right="0.7" top="0.75" bottom="0.75" header="0.3" footer="0.3"/>
  <pageSetup orientation="portrait" horizontalDpi="120" verticalDpi="72" r:id="rId1"/>
  <legacyDrawing r:id="rId2"/>
  <controls>
    <control shapeId="2052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Orlando Iván De la Cruz Paredes</dc:creator>
  <cp:lastModifiedBy>delacror</cp:lastModifiedBy>
  <cp:lastPrinted>2017-07-26T19:33:56Z</cp:lastPrinted>
  <dcterms:created xsi:type="dcterms:W3CDTF">2017-07-26T02:42:31Z</dcterms:created>
  <dcterms:modified xsi:type="dcterms:W3CDTF">2017-08-10T13:08:57Z</dcterms:modified>
</cp:coreProperties>
</file>